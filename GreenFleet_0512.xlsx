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4" documentId="8_{B9B8CCA1-22DD-4F15-B841-124366021112}" xr6:coauthVersionLast="47" xr6:coauthVersionMax="47" xr10:uidLastSave="{DD8B4F88-8CCF-47A7-9591-9D57C57649C4}"/>
  <bookViews>
    <workbookView xWindow="-28455" yWindow="5805" windowWidth="21600" windowHeight="11295" xr2:uid="{4B0E6B54-E016-4C36-AB3B-9C5ED148B7D2}"/>
  </bookViews>
  <sheets>
    <sheet name="Overview" sheetId="2" r:id="rId1"/>
    <sheet name="Tables" sheetId="1" r:id="rId2"/>
  </sheets>
  <externalReferences>
    <externalReference r:id="rId3"/>
  </externalReferences>
  <definedNames>
    <definedName name="Status">'[1]Online Calculator Edit Tracking'!$H$2:$H$4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" i="1" l="1"/>
  <c r="C52" i="1"/>
  <c r="E23" i="1"/>
  <c r="E22" i="1"/>
  <c r="E21" i="1"/>
  <c r="E20" i="1"/>
  <c r="E19" i="1"/>
  <c r="E18" i="1"/>
  <c r="E17" i="1"/>
  <c r="E16" i="1"/>
</calcChain>
</file>

<file path=xl/sharedStrings.xml><?xml version="1.0" encoding="utf-8"?>
<sst xmlns="http://schemas.openxmlformats.org/spreadsheetml/2006/main" count="339" uniqueCount="213">
  <si>
    <t>Vehicle Data</t>
  </si>
  <si>
    <t>Type</t>
  </si>
  <si>
    <t>Fuel Unit</t>
  </si>
  <si>
    <t>Fuel Efficiency (miles/unit)</t>
  </si>
  <si>
    <t>Notes</t>
  </si>
  <si>
    <t>Motorcycle</t>
  </si>
  <si>
    <t>Gasoline</t>
  </si>
  <si>
    <t>Gallon</t>
  </si>
  <si>
    <t>Source: "Average Fuel Economy by Major Vehicle Cateogory"  US Department of Energy</t>
  </si>
  <si>
    <t>Car</t>
  </si>
  <si>
    <t>https://afdc.energy.gov/data/10310</t>
  </si>
  <si>
    <t>Light Truck/ Pickup</t>
  </si>
  <si>
    <t>Transit Van</t>
  </si>
  <si>
    <t>Diesel</t>
  </si>
  <si>
    <t>School Bus</t>
  </si>
  <si>
    <t>Class 8 Truck</t>
  </si>
  <si>
    <t>Transit Bus</t>
  </si>
  <si>
    <t>Refuse Truck</t>
  </si>
  <si>
    <t xml:space="preserve">Hybrid Vehicle Efficiency.  Assumes an average fuel increase of 35% for hybrids.  </t>
  </si>
  <si>
    <t>Light Truck/Pickup</t>
  </si>
  <si>
    <t>Transit Vanpool</t>
  </si>
  <si>
    <t>Electric Vehicle Efficiency</t>
  </si>
  <si>
    <t>Hybrid Vehicle Efficiency</t>
  </si>
  <si>
    <t>Electricity</t>
  </si>
  <si>
    <t>KWh</t>
  </si>
  <si>
    <t>Low end efficiency reported by Zero Motorcycles</t>
  </si>
  <si>
    <t>https://zeromotorcycles.com/model/zero-shttps://zeromotorcycles.com/model-comparison</t>
  </si>
  <si>
    <t>Car Light Truck/Pickup and Transit Vanpool adapted from Figure 4.20 of the US EPA 2025 fuel Trends Report).  Based on Inertia Weight.  (4,500 for cars, 7,200 for Light Truck/Pickup, 5,000 for Transit Vanpool)</t>
  </si>
  <si>
    <t>https://www.epa.gov/system/files/documents/2026-02/420s26001.pdf</t>
  </si>
  <si>
    <t>https://www.epa.gov/greenvehicles/what-if-electric-school-buses-could-be-used-supply-power-when-duty</t>
  </si>
  <si>
    <t>https://docs.nrel.gov/docs/fy25osti/91369.pdf</t>
  </si>
  <si>
    <t>Assumes same efficiency as a school bus</t>
  </si>
  <si>
    <t>N/A</t>
  </si>
  <si>
    <t>New Jersey</t>
  </si>
  <si>
    <t>Michigan</t>
  </si>
  <si>
    <t>California</t>
  </si>
  <si>
    <t>Texas</t>
  </si>
  <si>
    <t>Florida</t>
  </si>
  <si>
    <t>New England</t>
  </si>
  <si>
    <t>$/gallon</t>
  </si>
  <si>
    <t>Biodiesel</t>
  </si>
  <si>
    <t>Assumes simlar to diesel</t>
  </si>
  <si>
    <t>Petroleum Hydrocarbon Density</t>
  </si>
  <si>
    <t>Biodiesel (Assume 90/10 Split)</t>
  </si>
  <si>
    <t>Inflation Factor to Account for Motor Oil Spills</t>
  </si>
  <si>
    <t>Based on the raio of petroleum release in the Puget Sound from each of these sources (6,100 vs 1,900)</t>
  </si>
  <si>
    <t>https://apps.ecology.wa.gov/publications/documents/1103055.pdf</t>
  </si>
  <si>
    <t xml:space="preserve">EMISSIONS FACTOR </t>
  </si>
  <si>
    <t>Unit</t>
  </si>
  <si>
    <t>CO2e emission rate (kg/gal)</t>
  </si>
  <si>
    <t>Table:- Electricty Data (Source:- https://www.epa.gov/egrid/detailed-data)</t>
  </si>
  <si>
    <t>Data Year</t>
  </si>
  <si>
    <t>State abbreviation</t>
  </si>
  <si>
    <t>State annual CO2 equivalent non-baseload output emission rate (lb/MWh)</t>
  </si>
  <si>
    <t>YEAR</t>
  </si>
  <si>
    <t>PSTATABB</t>
  </si>
  <si>
    <t>STNBC2E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</si>
  <si>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</si>
  <si>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</si>
  <si>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</si>
  <si>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</si>
  <si>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</si>
  <si>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</si>
  <si>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</si>
  <si>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</si>
  <si>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</si>
  <si>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</si>
  <si>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</si>
  <si>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</si>
  <si>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</si>
  <si>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</si>
  <si>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</si>
  <si>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</si>
  <si>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</si>
  <si>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</si>
  <si>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</si>
  <si>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</si>
  <si>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</si>
  <si>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</si>
  <si>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</si>
  <si>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</si>
  <si>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</si>
  <si>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</si>
  <si>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</si>
  <si>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</si>
  <si>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</si>
  <si>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</si>
  <si>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</si>
  <si>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</si>
  <si>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</si>
  <si>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</si>
  <si>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</si>
  <si>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</si>
  <si>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</si>
  <si>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</si>
  <si>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</si>
  <si>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</si>
  <si>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</si>
  <si>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</si>
  <si>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</si>
  <si>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</si>
  <si>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</si>
  <si>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</si>
  <si>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</si>
  <si>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</si>
  <si>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</si>
  <si>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</si>
  <si>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</si>
  <si>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</si>
  <si>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/>
  </si>
  <si>
    <t>Transportation</t>
  </si>
  <si>
    <t>Census Division
and State</t>
  </si>
  <si>
    <t>February 2026 YTD</t>
  </si>
  <si>
    <t>February 2025 YTD</t>
  </si>
  <si>
    <t>Connecticut</t>
  </si>
  <si>
    <t>Maine</t>
  </si>
  <si>
    <t>--</t>
  </si>
  <si>
    <t>Massachusetts</t>
  </si>
  <si>
    <t>New Hampshire</t>
  </si>
  <si>
    <t>Rhode Island</t>
  </si>
  <si>
    <t>Vermont</t>
  </si>
  <si>
    <t>Middle Atlantic</t>
  </si>
  <si>
    <t>New York</t>
  </si>
  <si>
    <t>Pennsylvania</t>
  </si>
  <si>
    <t>East North Central</t>
  </si>
  <si>
    <t>Illinois</t>
  </si>
  <si>
    <t>Indiana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</si>
  <si>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</si>
  <si>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</si>
  <si>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</si>
  <si>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</si>
  <si>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</si>
  <si>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</si>
  <si>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</si>
  <si>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</si>
  <si>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</si>
  <si>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</si>
  <si>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</si>
  <si>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</si>
  <si>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</si>
  <si>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</si>
  <si>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</si>
  <si>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</si>
  <si>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</si>
  <si>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</si>
  <si>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</si>
  <si>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</si>
  <si>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</si>
  <si>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</si>
  <si>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</si>
  <si>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</si>
  <si>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</si>
  <si>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</si>
  <si>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</si>
  <si>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</si>
  <si>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</si>
  <si>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</si>
  <si>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</si>
  <si>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</si>
  <si>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</si>
  <si>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</si>
  <si>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</si>
  <si>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</si>
  <si>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</si>
  <si>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</si>
  <si>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Oregon</t>
  </si>
  <si>
    <t>Washington</t>
  </si>
  <si>
    <t>Pacific Noncontiguous</t>
  </si>
  <si>
    <t>Alaska</t>
  </si>
  <si>
    <t>Hawaii</t>
  </si>
  <si>
    <t>U.S. Total</t>
  </si>
  <si>
    <t>Directions for Claude</t>
  </si>
  <si>
    <t>Table Looks like</t>
  </si>
  <si>
    <t>Ask the user to enter the following data about vehicles they intend to replace.</t>
  </si>
  <si>
    <t>Vehicle Category</t>
  </si>
  <si>
    <t>Fuel Type</t>
  </si>
  <si>
    <t>Number Being Replaced</t>
  </si>
  <si>
    <t>Replacement Type</t>
  </si>
  <si>
    <t>Trucks</t>
  </si>
  <si>
    <t>(EV or LNG)</t>
  </si>
  <si>
    <t>Number being purchased</t>
  </si>
  <si>
    <t>Typical number of miles driven per year.</t>
  </si>
  <si>
    <t>Green Option (Choose from Hybrid or EV)</t>
  </si>
  <si>
    <t>Calculate the following Benefits</t>
  </si>
  <si>
    <t>Fuel Use</t>
  </si>
  <si>
    <t>User can override instead of entering vehicle data</t>
  </si>
  <si>
    <t>Gasoline Change (gal/year)</t>
  </si>
  <si>
    <t>Add up total of Miles Driven/Fuel Efficiency for each gasoline vehicle.</t>
  </si>
  <si>
    <t>Subtrack Miles Driven/Fuel Efficiency for hybrid vehicles (if used)</t>
  </si>
  <si>
    <t>Diesel Change (gal/year)</t>
  </si>
  <si>
    <t>Add up total of Miles Driven/Fuel Efficiency for each diesel vehicle.</t>
  </si>
  <si>
    <t>Electricity Change (kwH/year)</t>
  </si>
  <si>
    <t>Add up total Miles Driven/Efficiency for each Electric Vehicle replacement</t>
  </si>
  <si>
    <t>Biodiesel Change (gal/year)</t>
  </si>
  <si>
    <t>Not Calculated.  User needs to enter if biodiesel substitution is a practice.</t>
  </si>
  <si>
    <t>Total Hydrocarbons in Runoff</t>
  </si>
  <si>
    <t>-Gasoline ChangeXGasoline Density-Diesel ChangeXDiesel Density-Biodiesel ChangeXBiodiesel Density</t>
  </si>
  <si>
    <t>Mulitiply by Inflation Factor for oil spills</t>
  </si>
  <si>
    <t>Greenhouse Gas Reduction</t>
  </si>
  <si>
    <t>-Gasoline Change X Gasoline CO2e-Diesel ChangeXDiesel CO2e-Electricity Change Xelectricity CO2e-Biodiesel Change Xbiodiesel CO2e</t>
  </si>
  <si>
    <t>-</t>
  </si>
  <si>
    <t>Cost Savings</t>
  </si>
  <si>
    <t>-Gasoline ChangeX Gasoline Unit Cost-Diesel ChangeX Diesel Unit Cost-Electricity ChangeXElectricity Unit Cost-Biodiesel ChangeXBiodiesel Unit Cost</t>
  </si>
  <si>
    <t>x</t>
  </si>
  <si>
    <t>U.S.</t>
  </si>
  <si>
    <t>State where the vehcle is being used (from a pull-down list)</t>
  </si>
  <si>
    <t>Source</t>
  </si>
  <si>
    <t>https://www.epa.gov/system/files/other-files/2022-11/P2_GHG_Calculator_29November2022.xlsm</t>
  </si>
  <si>
    <t>EPA Pollution Prevention Tools and Calculators</t>
  </si>
  <si>
    <t>Fuel Costs (From EPA P2 Calculator defaults)</t>
  </si>
  <si>
    <t>All Sectors (Use this if Transportation is Blank)</t>
  </si>
  <si>
    <t xml:space="preserve">Table 5.6.B. Average Price of Electricity to Ultimate Customers by End-Use Sector,by State, Year-to-Date through February 2026 and 2025 (Cents per Kilowatthour) Always use </t>
  </si>
  <si>
    <t>Vehicle Type (from pull-down list) (Type of Vehicle fro Vehicle Data) and Custom (For custom User Need to Input All Vehicle Informations)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</si>
</sst>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_)"/>
    <numFmt numFmtId="165" formatCode="#,##0.0"/>
    <numFmt numFmtId="166" formatCode="0.0"/>
    <numFmt numFmtId="167" formatCode="0.00_)"/>
    <numFmt numFmtId="168" formatCode="0.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1B1B"/>
      <name val="Arial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Arial"/>
      <family val="2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 style="medium">
        <color rgb="FF11111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9" fillId="0" borderId="0"/>
  </cellStyleXfs>
  <cellXfs count="73">
    <xf numFmtId="0" fontId="0" fillId="0" borderId="0" xfId="0"/>
    <xf numFmtId="0" fontId="2" fillId="0" borderId="0" xfId="0" applyFont="1"/>
    <xf numFmtId="0" fontId="5" fillId="0" borderId="1" xfId="3" applyFont="1" applyBorder="1"/>
    <xf numFmtId="164" fontId="5" fillId="0" borderId="2" xfId="4" applyNumberFormat="1" applyFont="1" applyBorder="1" applyAlignment="1">
      <alignment horizontal="center"/>
    </xf>
    <xf numFmtId="0" fontId="3" fillId="0" borderId="0" xfId="2"/>
    <xf numFmtId="165" fontId="5" fillId="0" borderId="2" xfId="3" applyNumberFormat="1" applyFont="1" applyBorder="1" applyAlignment="1">
      <alignment horizontal="center"/>
    </xf>
    <xf numFmtId="166" fontId="5" fillId="0" borderId="2" xfId="3" applyNumberFormat="1" applyFont="1" applyBorder="1" applyAlignment="1">
      <alignment horizontal="center"/>
    </xf>
    <xf numFmtId="166" fontId="5" fillId="0" borderId="2" xfId="4" applyNumberFormat="1" applyFont="1" applyBorder="1" applyAlignment="1">
      <alignment horizontal="center"/>
    </xf>
    <xf numFmtId="0" fontId="5" fillId="0" borderId="3" xfId="3" applyFont="1" applyBorder="1"/>
    <xf numFmtId="166" fontId="5" fillId="0" borderId="4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3" applyFont="1"/>
    <xf numFmtId="164" fontId="5" fillId="0" borderId="2" xfId="3" applyNumberFormat="1" applyFont="1" applyBorder="1" applyAlignment="1">
      <alignment horizontal="center"/>
    </xf>
    <xf numFmtId="167" fontId="5" fillId="0" borderId="2" xfId="3" applyNumberFormat="1" applyFont="1" applyBorder="1" applyAlignment="1">
      <alignment horizontal="center"/>
    </xf>
    <xf numFmtId="168" fontId="0" fillId="0" borderId="0" xfId="0" applyNumberFormat="1"/>
    <xf numFmtId="0" fontId="8" fillId="0" borderId="0" xfId="0" applyFont="1"/>
    <xf numFmtId="10" fontId="0" fillId="0" borderId="0" xfId="0" applyNumberFormat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2" fillId="5" borderId="1" xfId="0" applyFont="1" applyFill="1" applyBorder="1" applyAlignment="1">
      <alignment horizontal="center" wrapText="1"/>
    </xf>
    <xf numFmtId="2" fontId="12" fillId="5" borderId="2" xfId="0" applyNumberFormat="1" applyFont="1" applyFill="1" applyBorder="1" applyAlignment="1">
      <alignment horizontal="right" wrapText="1"/>
    </xf>
    <xf numFmtId="2" fontId="12" fillId="5" borderId="17" xfId="0" applyNumberFormat="1" applyFont="1" applyFill="1" applyBorder="1" applyAlignment="1">
      <alignment horizontal="right" wrapText="1"/>
    </xf>
    <xf numFmtId="0" fontId="13" fillId="6" borderId="1" xfId="0" applyFont="1" applyFill="1" applyBorder="1" applyAlignment="1">
      <alignment horizontal="left" wrapText="1"/>
    </xf>
    <xf numFmtId="2" fontId="13" fillId="6" borderId="2" xfId="0" applyNumberFormat="1" applyFont="1" applyFill="1" applyBorder="1" applyAlignment="1">
      <alignment horizontal="right" wrapText="1"/>
    </xf>
    <xf numFmtId="2" fontId="13" fillId="6" borderId="17" xfId="0" applyNumberFormat="1" applyFont="1" applyFill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2" fontId="13" fillId="0" borderId="2" xfId="0" applyNumberFormat="1" applyFont="1" applyBorder="1" applyAlignment="1">
      <alignment horizontal="right" wrapText="1"/>
    </xf>
    <xf numFmtId="2" fontId="13" fillId="0" borderId="17" xfId="0" applyNumberFormat="1" applyFont="1" applyBorder="1" applyAlignment="1">
      <alignment horizontal="right" wrapText="1"/>
    </xf>
    <xf numFmtId="0" fontId="13" fillId="0" borderId="3" xfId="0" applyFont="1" applyBorder="1" applyAlignment="1">
      <alignment horizontal="left" wrapText="1"/>
    </xf>
    <xf numFmtId="2" fontId="13" fillId="0" borderId="4" xfId="0" applyNumberFormat="1" applyFont="1" applyBorder="1" applyAlignment="1">
      <alignment horizontal="right" wrapText="1"/>
    </xf>
    <xf numFmtId="2" fontId="13" fillId="0" borderId="18" xfId="0" applyNumberFormat="1" applyFont="1" applyBorder="1" applyAlignment="1">
      <alignment horizontal="right" wrapText="1"/>
    </xf>
    <xf numFmtId="0" fontId="13" fillId="6" borderId="19" xfId="0" applyFont="1" applyFill="1" applyBorder="1" applyAlignment="1">
      <alignment horizontal="left" wrapText="1"/>
    </xf>
    <xf numFmtId="2" fontId="13" fillId="6" borderId="19" xfId="0" applyNumberFormat="1" applyFont="1" applyFill="1" applyBorder="1" applyAlignment="1">
      <alignment horizontal="right" wrapText="1"/>
    </xf>
    <xf numFmtId="0" fontId="14" fillId="0" borderId="0" xfId="0" applyFont="1"/>
    <xf numFmtId="0" fontId="0" fillId="7" borderId="0" xfId="0" applyFill="1"/>
    <xf numFmtId="0" fontId="0" fillId="0" borderId="0" xfId="0" applyAlignment="1">
      <alignment horizont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7" fillId="2" borderId="20" xfId="0" applyFont="1" applyFill="1" applyBorder="1" applyAlignment="1">
      <alignment horizontal="left" vertical="center" wrapText="1" indent="1"/>
    </xf>
    <xf numFmtId="0" fontId="10" fillId="3" borderId="0" xfId="0" applyFont="1" applyFill="1" applyAlignment="1">
      <alignment vertical="top" wrapText="1"/>
    </xf>
    <xf numFmtId="0" fontId="10" fillId="3" borderId="0" xfId="5" applyFont="1" applyFill="1" applyAlignment="1">
      <alignment vertical="top" wrapText="1"/>
    </xf>
    <xf numFmtId="0" fontId="0" fillId="0" borderId="0" xfId="1" applyNumberFormat="1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1" applyNumberFormat="1" applyFont="1" applyBorder="1"/>
    <xf numFmtId="0" fontId="0" fillId="0" borderId="13" xfId="0" applyBorder="1"/>
    <xf numFmtId="0" fontId="0" fillId="0" borderId="5" xfId="0" applyBorder="1" applyAlignment="1">
      <alignment horizontal="left" vertical="center" wrapText="1"/>
    </xf>
    <xf numFmtId="0" fontId="3" fillId="0" borderId="0" xfId="2" applyAlignment="1">
      <alignment horizontal="center" wrapText="1"/>
    </xf>
    <xf numFmtId="0" fontId="12" fillId="5" borderId="14" xfId="0" applyFont="1" applyFill="1" applyBorder="1" applyAlignment="1">
      <alignment horizontal="center" wrapText="1"/>
    </xf>
    <xf numFmtId="0" fontId="12" fillId="5" borderId="15" xfId="0" applyFont="1" applyFill="1" applyBorder="1" applyAlignment="1">
      <alignment horizontal="center" wrapText="1"/>
    </xf>
    <xf numFmtId="0" fontId="12" fillId="5" borderId="16" xfId="0" applyFont="1" applyFill="1" applyBorder="1" applyAlignment="1">
      <alignment horizont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</cellXfs>
  <cellStyles count="6">
    <cellStyle name="Currency" xfId="1" builtinId="4"/>
    <cellStyle name="Hyperlink" xfId="2" builtinId="8"/>
    <cellStyle name="Normal" xfId="0" builtinId="0"/>
    <cellStyle name="Normal 10" xfId="3" xr:uid="{F6CFF0C9-66E6-46BC-877F-560708B7E704}"/>
    <cellStyle name="Normal 2" xfId="5" xr:uid="{8C9A57EC-3C77-42D1-8CBF-96428D5A87FE}"/>
    <cellStyle name="Normal 7" xfId="4" xr:uid="{682CF436-77A6-4AFB-BCFF-DB651ED6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160020</xdr:colOff>
      <xdr:row>1</xdr:row>
      <xdr:rowOff>144780</xdr:rowOff>
    </xdr:from>
    <xdr:to>
      <xdr:col>23</xdr:col>
      <xdr:colOff>438702</xdr:colOff>
      <xdr:row>28</xdr:row>
      <xdr:rowOff>103296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887D4-FA15-4E6A-B0EC-D0A38F99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1870" y="335280"/>
          <a:ext cx="6374682" cy="51210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isting%20Calculator%20Summary.xlsx" TargetMode="External"/><Relationship Id="rId2" Type="http://schemas.openxmlformats.org/officeDocument/2006/relationships/externalLinkPath" Target="https://cwp.sharepoint.com/projects/Documents/T-22-011/Task%202.%20Toolkit%20and%20Training%20Content/Calculators%20to%20Evaluate%20Progress/Existing%20Calculator%20Summary.xlsx" TargetMode="External"/><Relationship Id="rId1" Type="http://schemas.openxmlformats.org/officeDocument/2006/relationships/externalLinkPath" Target="/projects/Documents/T-22-011/Task%202.%20Toolkit%20and%20Training%20Content/Calculators%20to%20Evaluate%20Progress/Existing%20Calculator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ing Calculators"/>
      <sheetName val="Plastics Ramblings"/>
      <sheetName val="Winter Road Salt"/>
      <sheetName val="Landscaping GHG Reduct. Calcs."/>
      <sheetName val="Landscaping Water Reduct. Calcs"/>
      <sheetName val="Landscaping COMBINED"/>
      <sheetName val="Landscaping Nutrient Reductions"/>
      <sheetName val="Green Fleet (By Whole Fleet)"/>
      <sheetName val="Green Fleet (By Vehicle)"/>
      <sheetName val="Resources for Calculations"/>
      <sheetName val="Green Fleet - Constants"/>
      <sheetName val="Green Fleet Overview.  DSC"/>
      <sheetName val="Green Fleet Calculations-DSC"/>
      <sheetName val="Online Calculator Edit Tracking"/>
      <sheetName val="Landscaping_Equip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H2" t="str">
            <v>Not Started</v>
          </cell>
        </row>
        <row r="3">
          <cell r="H3" t="str">
            <v>In Progress</v>
          </cell>
        </row>
        <row r="4">
          <cell r="H4" t="str">
            <v>Complete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a.gov/system/files/documents/2026-02/420s26001.pdf" TargetMode="External"/><Relationship Id="rId2" Type="http://schemas.openxmlformats.org/officeDocument/2006/relationships/hyperlink" Target="https://docs.nrel.gov/docs/fy25osti/91369.pdf" TargetMode="External"/><Relationship Id="rId1" Type="http://schemas.openxmlformats.org/officeDocument/2006/relationships/hyperlink" Target="https://www.epa.gov/greenvehicles/what-if-electric-school-buses-could-be-used-supply-power-when-duty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apps.ecology.wa.gov/publications/documents/1103055.pdf" TargetMode="External"/><Relationship Id="rId4" Type="http://schemas.openxmlformats.org/officeDocument/2006/relationships/hyperlink" Target="https://zeromotorcycles.com/model/zero-shttps:/zeromotorcycles.com/model-compari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BFBF-AE23-4D45-B98F-4AB2364E37D0}">
  <dimension ref="A3:Q68"/>
  <sheetViews>
    <sheetView tabSelected="1" zoomScaleNormal="100" workbookViewId="0">
      <selection activeCell="D13" sqref="D13"/>
    </sheetView>
  </sheetViews>
  <sheetFormatPr defaultRowHeight="15" x14ac:dyDescent="0.25"/>
  <cols>
    <col min="2" max="2" width="26.140625" customWidth="1"/>
    <col min="3" max="3" width="71.5703125" customWidth="1"/>
    <col min="4" max="4" width="61.5703125" customWidth="1"/>
    <col min="5" max="5" width="20.5703125" customWidth="1"/>
    <col min="6" max="6" width="22.7109375" customWidth="1"/>
    <col min="7" max="7" width="25" customWidth="1"/>
    <col min="8" max="8" width="33.85546875" customWidth="1"/>
    <col min="9" max="9" width="26.140625" customWidth="1"/>
    <col min="10" max="10" width="21.5703125" customWidth="1"/>
    <col min="11" max="11" width="4.85546875" customWidth="1"/>
    <col min="12" max="12" width="13.85546875" customWidth="1"/>
    <col min="15" max="15" width="11.7109375" customWidth="1"/>
    <col min="16" max="16" width="13.85546875" customWidth="1"/>
    <col min="17" max="17" width="20.42578125" customWidth="1"/>
  </cols>
  <sheetData>
    <row r="3" spans="3:17" x14ac:dyDescent="0.25">
      <c r="C3" s="40" t="s">
        <v>171</v>
      </c>
    </row>
    <row r="4" spans="3:17" x14ac:dyDescent="0.25">
      <c r="N4" t="s">
        <v>172</v>
      </c>
    </row>
    <row r="5" spans="3:17" ht="30" x14ac:dyDescent="0.25">
      <c r="C5" s="15" t="s">
        <v>173</v>
      </c>
      <c r="D5" s="41"/>
      <c r="N5" s="42" t="s">
        <v>174</v>
      </c>
      <c r="O5" t="s">
        <v>175</v>
      </c>
      <c r="P5" s="20" t="s">
        <v>176</v>
      </c>
      <c r="Q5" t="s">
        <v>177</v>
      </c>
    </row>
    <row r="6" spans="3:17" x14ac:dyDescent="0.25">
      <c r="C6" t="s">
        <v>212</v>
      </c>
      <c r="N6" t="s">
        <v>178</v>
      </c>
      <c r="Q6" t="s">
        <v>179</v>
      </c>
    </row>
    <row r="7" spans="3:17" x14ac:dyDescent="0.25">
      <c r="C7" t="s">
        <v>180</v>
      </c>
    </row>
    <row r="8" spans="3:17" x14ac:dyDescent="0.25">
      <c r="C8" t="s">
        <v>181</v>
      </c>
    </row>
    <row r="9" spans="3:17" x14ac:dyDescent="0.25">
      <c r="C9" t="s">
        <v>182</v>
      </c>
    </row>
    <row r="10" spans="3:17" x14ac:dyDescent="0.25">
      <c r="C10" t="s">
        <v>205</v>
      </c>
    </row>
    <row r="13" spans="3:17" x14ac:dyDescent="0.25">
      <c r="C13" s="15" t="s">
        <v>183</v>
      </c>
    </row>
    <row r="14" spans="3:17" x14ac:dyDescent="0.25">
      <c r="C14" s="1" t="s">
        <v>184</v>
      </c>
      <c r="E14" t="s">
        <v>185</v>
      </c>
    </row>
    <row r="15" spans="3:17" x14ac:dyDescent="0.25">
      <c r="C15" t="s">
        <v>186</v>
      </c>
      <c r="D15" t="s">
        <v>187</v>
      </c>
      <c r="E15" t="s">
        <v>188</v>
      </c>
    </row>
    <row r="16" spans="3:17" x14ac:dyDescent="0.25">
      <c r="C16" t="s">
        <v>189</v>
      </c>
      <c r="D16" t="s">
        <v>190</v>
      </c>
      <c r="E16" t="s">
        <v>188</v>
      </c>
    </row>
    <row r="17" spans="3:15" x14ac:dyDescent="0.25">
      <c r="C17" t="s">
        <v>191</v>
      </c>
      <c r="D17" t="s">
        <v>192</v>
      </c>
      <c r="E17" t="s">
        <v>188</v>
      </c>
    </row>
    <row r="18" spans="3:15" x14ac:dyDescent="0.25">
      <c r="C18" t="s">
        <v>193</v>
      </c>
      <c r="D18" t="s">
        <v>194</v>
      </c>
    </row>
    <row r="19" spans="3:15" x14ac:dyDescent="0.25">
      <c r="C19" s="15"/>
    </row>
    <row r="20" spans="3:15" x14ac:dyDescent="0.25">
      <c r="C20" s="15"/>
    </row>
    <row r="21" spans="3:15" x14ac:dyDescent="0.25">
      <c r="C21" s="1" t="s">
        <v>195</v>
      </c>
    </row>
    <row r="22" spans="3:15" ht="30" x14ac:dyDescent="0.25">
      <c r="C22" s="43" t="s">
        <v>196</v>
      </c>
      <c r="D22" s="44" t="s">
        <v>197</v>
      </c>
      <c r="I22" s="45"/>
      <c r="K22" s="46"/>
      <c r="M22" s="46"/>
    </row>
    <row r="23" spans="3:15" x14ac:dyDescent="0.25">
      <c r="C23" s="47"/>
      <c r="D23" s="47"/>
      <c r="E23" s="44"/>
      <c r="F23" s="1"/>
      <c r="K23" s="45"/>
      <c r="M23" s="46"/>
      <c r="O23" s="46"/>
    </row>
    <row r="24" spans="3:15" x14ac:dyDescent="0.25">
      <c r="C24" s="47"/>
      <c r="D24" s="47"/>
      <c r="E24" s="44"/>
      <c r="F24" s="1"/>
      <c r="K24" s="45"/>
      <c r="M24" s="46"/>
      <c r="O24" s="46"/>
    </row>
    <row r="25" spans="3:15" x14ac:dyDescent="0.25">
      <c r="C25" s="47"/>
      <c r="D25" s="47"/>
      <c r="E25" s="44"/>
      <c r="F25" s="1"/>
      <c r="K25" s="45"/>
      <c r="M25" s="46"/>
      <c r="O25" s="46"/>
    </row>
    <row r="27" spans="3:15" x14ac:dyDescent="0.25">
      <c r="C27" s="1" t="s">
        <v>198</v>
      </c>
      <c r="D27" s="43"/>
    </row>
    <row r="28" spans="3:15" ht="30" x14ac:dyDescent="0.25">
      <c r="C28" s="44" t="s">
        <v>199</v>
      </c>
      <c r="D28" s="48" t="s">
        <v>200</v>
      </c>
      <c r="E28" s="44"/>
      <c r="F28" s="20"/>
    </row>
    <row r="29" spans="3:15" x14ac:dyDescent="0.25">
      <c r="D29" s="47"/>
      <c r="E29" s="44"/>
    </row>
    <row r="32" spans="3:15" x14ac:dyDescent="0.25">
      <c r="C32" s="1" t="s">
        <v>201</v>
      </c>
    </row>
    <row r="33" spans="2:3" x14ac:dyDescent="0.25">
      <c r="C33" s="46" t="s">
        <v>202</v>
      </c>
    </row>
    <row r="41" spans="2:3" x14ac:dyDescent="0.25">
      <c r="B41" s="49"/>
    </row>
    <row r="42" spans="2:3" x14ac:dyDescent="0.25">
      <c r="B42" s="49"/>
    </row>
    <row r="43" spans="2:3" x14ac:dyDescent="0.25">
      <c r="B43" s="49"/>
    </row>
    <row r="44" spans="2:3" x14ac:dyDescent="0.25">
      <c r="B44" s="49"/>
    </row>
    <row r="45" spans="2:3" x14ac:dyDescent="0.25">
      <c r="B45" s="49"/>
    </row>
    <row r="46" spans="2:3" x14ac:dyDescent="0.25">
      <c r="B46" s="49"/>
    </row>
    <row r="47" spans="2:3" x14ac:dyDescent="0.25">
      <c r="B47" s="49"/>
    </row>
    <row r="48" spans="2:3" x14ac:dyDescent="0.25">
      <c r="B48" s="49"/>
    </row>
    <row r="49" spans="1:2" x14ac:dyDescent="0.25">
      <c r="B49" s="49"/>
    </row>
    <row r="50" spans="1:2" x14ac:dyDescent="0.25">
      <c r="B50" s="49"/>
    </row>
    <row r="51" spans="1:2" x14ac:dyDescent="0.25">
      <c r="B51" s="49"/>
    </row>
    <row r="52" spans="1:2" x14ac:dyDescent="0.25">
      <c r="B52" s="49"/>
    </row>
    <row r="53" spans="1:2" x14ac:dyDescent="0.25">
      <c r="B53" s="49"/>
    </row>
    <row r="54" spans="1:2" x14ac:dyDescent="0.25">
      <c r="A54" t="s">
        <v>203</v>
      </c>
      <c r="B54" s="49"/>
    </row>
    <row r="55" spans="1:2" x14ac:dyDescent="0.25">
      <c r="A55" t="s">
        <v>203</v>
      </c>
      <c r="B55" s="49"/>
    </row>
    <row r="56" spans="1:2" x14ac:dyDescent="0.25">
      <c r="A56" t="s">
        <v>203</v>
      </c>
      <c r="B56" s="49"/>
    </row>
    <row r="57" spans="1:2" x14ac:dyDescent="0.25">
      <c r="A57" t="s">
        <v>203</v>
      </c>
    </row>
    <row r="67" spans="3:4" ht="15.75" thickBot="1" x14ac:dyDescent="0.3"/>
    <row r="68" spans="3:4" ht="15.75" thickBot="1" x14ac:dyDescent="0.3">
      <c r="C68" s="50" t="s">
        <v>204</v>
      </c>
      <c r="D68" s="14">
        <v>0.77088400000000001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E826-F88C-4EB8-B230-F490D03037BC}">
  <dimension ref="B2:L198"/>
  <sheetViews>
    <sheetView topLeftCell="A113" zoomScaleNormal="100" workbookViewId="0">
      <selection activeCell="F136" sqref="F136"/>
    </sheetView>
  </sheetViews>
  <sheetFormatPr defaultRowHeight="15" x14ac:dyDescent="0.25"/>
  <cols>
    <col min="1" max="1" width="12.7109375" customWidth="1"/>
    <col min="2" max="2" width="47.85546875" customWidth="1"/>
    <col min="4" max="4" width="29.85546875" customWidth="1"/>
    <col min="5" max="5" width="14.7109375" customWidth="1"/>
    <col min="6" max="6" width="27.85546875" customWidth="1"/>
    <col min="7" max="7" width="25" customWidth="1"/>
  </cols>
  <sheetData>
    <row r="2" spans="2:8" x14ac:dyDescent="0.25">
      <c r="B2" s="1" t="s">
        <v>0</v>
      </c>
    </row>
    <row r="3" spans="2:8" x14ac:dyDescent="0.25">
      <c r="C3" t="s">
        <v>1</v>
      </c>
      <c r="D3" t="s">
        <v>2</v>
      </c>
      <c r="E3" t="s">
        <v>3</v>
      </c>
      <c r="G3" s="1" t="s">
        <v>4</v>
      </c>
    </row>
    <row r="4" spans="2:8" x14ac:dyDescent="0.25">
      <c r="B4" s="2" t="s">
        <v>5</v>
      </c>
      <c r="C4" t="s">
        <v>6</v>
      </c>
      <c r="D4" t="s">
        <v>7</v>
      </c>
      <c r="E4" s="3">
        <v>44</v>
      </c>
      <c r="G4" t="s">
        <v>8</v>
      </c>
    </row>
    <row r="5" spans="2:8" x14ac:dyDescent="0.25">
      <c r="B5" s="2" t="s">
        <v>9</v>
      </c>
      <c r="C5" t="s">
        <v>6</v>
      </c>
      <c r="D5" t="s">
        <v>7</v>
      </c>
      <c r="E5" s="3">
        <v>24.4</v>
      </c>
      <c r="G5" s="4" t="s">
        <v>10</v>
      </c>
    </row>
    <row r="6" spans="2:8" x14ac:dyDescent="0.25">
      <c r="B6" s="2" t="s">
        <v>11</v>
      </c>
      <c r="C6" t="s">
        <v>6</v>
      </c>
      <c r="D6" t="s">
        <v>7</v>
      </c>
      <c r="E6" s="3">
        <v>17.8</v>
      </c>
    </row>
    <row r="7" spans="2:8" x14ac:dyDescent="0.25">
      <c r="B7" s="2" t="s">
        <v>12</v>
      </c>
      <c r="C7" t="s">
        <v>13</v>
      </c>
      <c r="D7" t="s">
        <v>7</v>
      </c>
      <c r="E7" s="5">
        <v>12.56</v>
      </c>
    </row>
    <row r="8" spans="2:8" x14ac:dyDescent="0.25">
      <c r="B8" s="2" t="s">
        <v>14</v>
      </c>
      <c r="C8" t="s">
        <v>13</v>
      </c>
      <c r="D8" t="s">
        <v>7</v>
      </c>
      <c r="E8" s="6">
        <v>7.3</v>
      </c>
    </row>
    <row r="9" spans="2:8" x14ac:dyDescent="0.25">
      <c r="B9" s="2" t="s">
        <v>15</v>
      </c>
      <c r="C9" t="s">
        <v>13</v>
      </c>
      <c r="D9" t="s">
        <v>7</v>
      </c>
      <c r="E9" s="7">
        <v>6.4</v>
      </c>
    </row>
    <row r="10" spans="2:8" x14ac:dyDescent="0.25">
      <c r="B10" s="2" t="s">
        <v>16</v>
      </c>
      <c r="C10" t="s">
        <v>13</v>
      </c>
      <c r="D10" t="s">
        <v>7</v>
      </c>
      <c r="E10" s="6">
        <v>3.83</v>
      </c>
    </row>
    <row r="11" spans="2:8" ht="15.75" thickBot="1" x14ac:dyDescent="0.3">
      <c r="B11" s="8" t="s">
        <v>17</v>
      </c>
      <c r="C11" t="s">
        <v>13</v>
      </c>
      <c r="D11" t="s">
        <v>7</v>
      </c>
      <c r="E11" s="9">
        <v>2.8</v>
      </c>
    </row>
    <row r="15" spans="2:8" x14ac:dyDescent="0.25">
      <c r="B15" s="1" t="s">
        <v>18</v>
      </c>
    </row>
    <row r="16" spans="2:8" x14ac:dyDescent="0.25">
      <c r="B16" s="2" t="s">
        <v>5</v>
      </c>
      <c r="C16" t="s">
        <v>6</v>
      </c>
      <c r="D16" t="s">
        <v>7</v>
      </c>
      <c r="E16" s="3">
        <f t="shared" ref="E16:E23" si="0">E4*1.35</f>
        <v>59.400000000000006</v>
      </c>
      <c r="H16" s="10"/>
    </row>
    <row r="17" spans="2:9" x14ac:dyDescent="0.25">
      <c r="B17" s="2" t="s">
        <v>9</v>
      </c>
      <c r="C17" t="s">
        <v>6</v>
      </c>
      <c r="D17" t="s">
        <v>7</v>
      </c>
      <c r="E17" s="3">
        <f t="shared" si="0"/>
        <v>32.94</v>
      </c>
      <c r="H17" s="10"/>
    </row>
    <row r="18" spans="2:9" x14ac:dyDescent="0.25">
      <c r="B18" s="2" t="s">
        <v>19</v>
      </c>
      <c r="C18" t="s">
        <v>6</v>
      </c>
      <c r="D18" t="s">
        <v>7</v>
      </c>
      <c r="E18" s="3">
        <f t="shared" si="0"/>
        <v>24.03</v>
      </c>
      <c r="H18" s="10"/>
    </row>
    <row r="19" spans="2:9" x14ac:dyDescent="0.25">
      <c r="B19" s="2" t="s">
        <v>20</v>
      </c>
      <c r="C19" t="s">
        <v>13</v>
      </c>
      <c r="D19" t="s">
        <v>7</v>
      </c>
      <c r="E19" s="5">
        <f t="shared" si="0"/>
        <v>16.956000000000003</v>
      </c>
      <c r="H19" s="10"/>
    </row>
    <row r="20" spans="2:9" x14ac:dyDescent="0.25">
      <c r="B20" s="2" t="s">
        <v>14</v>
      </c>
      <c r="C20" t="s">
        <v>13</v>
      </c>
      <c r="D20" t="s">
        <v>7</v>
      </c>
      <c r="E20" s="5">
        <f t="shared" si="0"/>
        <v>9.8550000000000004</v>
      </c>
      <c r="H20" s="10"/>
      <c r="I20" s="4"/>
    </row>
    <row r="21" spans="2:9" x14ac:dyDescent="0.25">
      <c r="B21" s="2" t="s">
        <v>15</v>
      </c>
      <c r="C21" t="s">
        <v>13</v>
      </c>
      <c r="D21" t="s">
        <v>7</v>
      </c>
      <c r="E21" s="5">
        <f t="shared" si="0"/>
        <v>8.64</v>
      </c>
      <c r="H21" s="10"/>
      <c r="I21" s="4"/>
    </row>
    <row r="22" spans="2:9" x14ac:dyDescent="0.25">
      <c r="B22" s="2" t="s">
        <v>16</v>
      </c>
      <c r="C22" t="s">
        <v>13</v>
      </c>
      <c r="D22" t="s">
        <v>7</v>
      </c>
      <c r="E22" s="5">
        <f t="shared" si="0"/>
        <v>5.1705000000000005</v>
      </c>
      <c r="H22" s="10"/>
    </row>
    <row r="23" spans="2:9" ht="15.75" thickBot="1" x14ac:dyDescent="0.3">
      <c r="B23" s="8" t="s">
        <v>17</v>
      </c>
      <c r="C23" t="s">
        <v>13</v>
      </c>
      <c r="D23" t="s">
        <v>7</v>
      </c>
      <c r="E23" s="5">
        <f t="shared" si="0"/>
        <v>3.78</v>
      </c>
    </row>
    <row r="26" spans="2:9" x14ac:dyDescent="0.25">
      <c r="B26" s="11" t="s">
        <v>21</v>
      </c>
    </row>
    <row r="27" spans="2:9" x14ac:dyDescent="0.25">
      <c r="B27" s="1" t="s">
        <v>22</v>
      </c>
    </row>
    <row r="28" spans="2:9" x14ac:dyDescent="0.25">
      <c r="B28" s="2" t="s">
        <v>5</v>
      </c>
      <c r="C28" t="s">
        <v>23</v>
      </c>
      <c r="D28" t="s">
        <v>24</v>
      </c>
      <c r="E28" s="3">
        <v>10</v>
      </c>
      <c r="F28" t="s">
        <v>25</v>
      </c>
      <c r="G28" s="4" t="s">
        <v>26</v>
      </c>
    </row>
    <row r="29" spans="2:9" x14ac:dyDescent="0.25">
      <c r="B29" s="2" t="s">
        <v>9</v>
      </c>
      <c r="C29" t="s">
        <v>23</v>
      </c>
      <c r="D29" t="s">
        <v>24</v>
      </c>
      <c r="E29" s="3">
        <v>3.1</v>
      </c>
      <c r="F29" s="62" t="s">
        <v>27</v>
      </c>
      <c r="G29" s="63" t="s">
        <v>28</v>
      </c>
    </row>
    <row r="30" spans="2:9" x14ac:dyDescent="0.25">
      <c r="B30" s="2" t="s">
        <v>19</v>
      </c>
      <c r="C30" t="s">
        <v>23</v>
      </c>
      <c r="D30" t="s">
        <v>24</v>
      </c>
      <c r="E30" s="3">
        <v>2.1</v>
      </c>
      <c r="F30" s="62"/>
      <c r="G30" s="63"/>
    </row>
    <row r="31" spans="2:9" x14ac:dyDescent="0.25">
      <c r="B31" s="2" t="s">
        <v>20</v>
      </c>
      <c r="C31" t="s">
        <v>23</v>
      </c>
      <c r="D31" t="s">
        <v>24</v>
      </c>
      <c r="E31" s="12">
        <v>2.9</v>
      </c>
      <c r="F31" s="62"/>
      <c r="G31" s="63"/>
    </row>
    <row r="32" spans="2:9" x14ac:dyDescent="0.25">
      <c r="B32" s="2" t="s">
        <v>14</v>
      </c>
      <c r="C32" t="s">
        <v>23</v>
      </c>
      <c r="D32" t="s">
        <v>24</v>
      </c>
      <c r="E32" s="12">
        <v>1.5</v>
      </c>
      <c r="F32" s="4" t="s">
        <v>29</v>
      </c>
    </row>
    <row r="33" spans="2:6" x14ac:dyDescent="0.25">
      <c r="B33" s="2" t="s">
        <v>15</v>
      </c>
      <c r="C33" t="s">
        <v>23</v>
      </c>
      <c r="D33" t="s">
        <v>24</v>
      </c>
      <c r="E33" s="12">
        <v>1.8</v>
      </c>
      <c r="F33" s="4" t="s">
        <v>30</v>
      </c>
    </row>
    <row r="34" spans="2:6" x14ac:dyDescent="0.25">
      <c r="B34" s="2" t="s">
        <v>16</v>
      </c>
      <c r="C34" t="s">
        <v>23</v>
      </c>
      <c r="D34" t="s">
        <v>24</v>
      </c>
      <c r="E34" s="12">
        <v>1.5</v>
      </c>
      <c r="F34" t="s">
        <v>31</v>
      </c>
    </row>
    <row r="35" spans="2:6" ht="15.75" thickBot="1" x14ac:dyDescent="0.3">
      <c r="B35" s="8" t="s">
        <v>17</v>
      </c>
      <c r="C35" t="s">
        <v>23</v>
      </c>
      <c r="D35" t="s">
        <v>24</v>
      </c>
      <c r="E35" s="13" t="s">
        <v>32</v>
      </c>
    </row>
    <row r="40" spans="2:6" ht="15.75" thickBot="1" x14ac:dyDescent="0.3"/>
    <row r="41" spans="2:6" x14ac:dyDescent="0.25">
      <c r="B41" s="54" t="s">
        <v>209</v>
      </c>
      <c r="C41" s="55"/>
      <c r="D41" s="56"/>
    </row>
    <row r="42" spans="2:6" x14ac:dyDescent="0.25">
      <c r="B42" s="57" t="s">
        <v>6</v>
      </c>
      <c r="C42" s="52">
        <v>2.6909999999999998</v>
      </c>
      <c r="D42" s="58" t="s">
        <v>39</v>
      </c>
    </row>
    <row r="43" spans="2:6" x14ac:dyDescent="0.25">
      <c r="B43" s="57" t="s">
        <v>40</v>
      </c>
      <c r="C43" s="53">
        <v>3.056</v>
      </c>
      <c r="D43" s="58" t="s">
        <v>39</v>
      </c>
      <c r="E43" t="s">
        <v>41</v>
      </c>
    </row>
    <row r="44" spans="2:6" ht="15.75" thickBot="1" x14ac:dyDescent="0.3">
      <c r="B44" s="59" t="s">
        <v>13</v>
      </c>
      <c r="C44" s="60">
        <v>3.056</v>
      </c>
      <c r="D44" s="61" t="s">
        <v>39</v>
      </c>
    </row>
    <row r="45" spans="2:6" x14ac:dyDescent="0.25">
      <c r="C45" s="51"/>
    </row>
    <row r="49" spans="2:7" x14ac:dyDescent="0.25">
      <c r="B49" s="1" t="s">
        <v>42</v>
      </c>
    </row>
    <row r="50" spans="2:7" x14ac:dyDescent="0.25">
      <c r="B50" t="s">
        <v>6</v>
      </c>
      <c r="C50">
        <v>6.1</v>
      </c>
    </row>
    <row r="51" spans="2:7" x14ac:dyDescent="0.25">
      <c r="B51" t="s">
        <v>13</v>
      </c>
      <c r="C51">
        <v>7.1</v>
      </c>
    </row>
    <row r="52" spans="2:7" x14ac:dyDescent="0.25">
      <c r="B52" t="s">
        <v>43</v>
      </c>
      <c r="C52">
        <f>0.9*C51</f>
        <v>6.39</v>
      </c>
    </row>
    <row r="54" spans="2:7" x14ac:dyDescent="0.25">
      <c r="B54" s="1" t="s">
        <v>44</v>
      </c>
      <c r="C54">
        <f>6100/1900+1</f>
        <v>4.2105263157894743</v>
      </c>
      <c r="D54" t="s">
        <v>45</v>
      </c>
      <c r="E54" s="4" t="s">
        <v>46</v>
      </c>
    </row>
    <row r="56" spans="2:7" x14ac:dyDescent="0.25">
      <c r="D56" s="16"/>
      <c r="E56" s="4"/>
    </row>
    <row r="58" spans="2:7" x14ac:dyDescent="0.25">
      <c r="B58" s="1" t="s">
        <v>47</v>
      </c>
      <c r="D58" t="s">
        <v>48</v>
      </c>
      <c r="E58" t="s">
        <v>206</v>
      </c>
    </row>
    <row r="59" spans="2:7" x14ac:dyDescent="0.25">
      <c r="B59" t="s">
        <v>6</v>
      </c>
      <c r="C59">
        <v>8.81</v>
      </c>
      <c r="D59" t="s">
        <v>49</v>
      </c>
      <c r="E59" t="s">
        <v>208</v>
      </c>
      <c r="G59" t="s">
        <v>207</v>
      </c>
    </row>
    <row r="60" spans="2:7" x14ac:dyDescent="0.25">
      <c r="B60" t="s">
        <v>13</v>
      </c>
      <c r="C60">
        <v>10.24</v>
      </c>
      <c r="D60" t="s">
        <v>49</v>
      </c>
      <c r="E60" t="s">
        <v>208</v>
      </c>
      <c r="G60" t="s">
        <v>207</v>
      </c>
    </row>
    <row r="61" spans="2:7" x14ac:dyDescent="0.25">
      <c r="B61" t="s">
        <v>40</v>
      </c>
      <c r="C61">
        <v>9.4600000000000009</v>
      </c>
      <c r="D61" t="s">
        <v>49</v>
      </c>
      <c r="E61" t="s">
        <v>208</v>
      </c>
      <c r="G61" t="s">
        <v>207</v>
      </c>
    </row>
    <row r="70" spans="2:11" ht="15.75" thickBot="1" x14ac:dyDescent="0.3"/>
    <row r="71" spans="2:11" ht="30" x14ac:dyDescent="0.25">
      <c r="B71" s="17" t="s">
        <v>50</v>
      </c>
      <c r="C71" s="18"/>
      <c r="D71" s="19"/>
      <c r="E71" s="20"/>
      <c r="F71" s="20"/>
      <c r="G71" s="20"/>
      <c r="H71" s="20"/>
      <c r="I71" s="20"/>
      <c r="J71" s="20"/>
      <c r="K71" s="20"/>
    </row>
    <row r="72" spans="2:11" ht="45" x14ac:dyDescent="0.25">
      <c r="B72" s="21" t="s">
        <v>51</v>
      </c>
      <c r="C72" s="20" t="s">
        <v>52</v>
      </c>
      <c r="D72" s="22" t="s">
        <v>53</v>
      </c>
      <c r="E72" s="20"/>
      <c r="F72" s="20"/>
      <c r="G72" s="20"/>
      <c r="H72" s="20"/>
      <c r="I72" s="20"/>
      <c r="J72" s="20"/>
      <c r="K72" s="20"/>
    </row>
    <row r="73" spans="2:11" ht="30" x14ac:dyDescent="0.25">
      <c r="B73" s="21" t="s">
        <v>54</v>
      </c>
      <c r="C73" s="20" t="s">
        <v>55</v>
      </c>
      <c r="D73" s="22" t="s">
        <v>56</v>
      </c>
      <c r="E73" s="20"/>
      <c r="F73" s="20"/>
      <c r="G73" s="20"/>
      <c r="H73" s="20"/>
      <c r="I73" s="20"/>
      <c r="J73" s="20"/>
      <c r="K73" s="20"/>
    </row>
    <row r="74" spans="2:11" x14ac:dyDescent="0.25">
      <c r="B74" s="21">
        <v>2023</v>
      </c>
      <c r="C74" s="20" t="s">
        <v>57</v>
      </c>
      <c r="D74" s="22">
        <v>1153.5070000000001</v>
      </c>
      <c r="E74" s="20"/>
      <c r="F74" s="20"/>
      <c r="G74" s="20"/>
      <c r="H74" s="20"/>
      <c r="I74" s="20"/>
      <c r="J74" s="20"/>
      <c r="K74" s="20"/>
    </row>
    <row r="75" spans="2:11" x14ac:dyDescent="0.25">
      <c r="B75" s="21">
        <v>2023</v>
      </c>
      <c r="C75" s="20" t="s">
        <v>58</v>
      </c>
      <c r="D75" s="22">
        <v>1246.8820000000001</v>
      </c>
      <c r="E75" s="20"/>
      <c r="F75" s="20"/>
      <c r="G75" s="20"/>
      <c r="H75" s="20"/>
      <c r="I75" s="20"/>
      <c r="J75" s="20"/>
      <c r="K75" s="20"/>
    </row>
    <row r="76" spans="2:11" x14ac:dyDescent="0.25">
      <c r="B76" s="21">
        <v>2023</v>
      </c>
      <c r="C76" s="20" t="s">
        <v>59</v>
      </c>
      <c r="D76" s="22">
        <v>1657.9570000000001</v>
      </c>
      <c r="E76" s="20"/>
      <c r="F76" s="20"/>
      <c r="G76" s="20"/>
      <c r="H76" s="20"/>
      <c r="I76" s="20"/>
      <c r="J76" s="20"/>
      <c r="K76" s="20"/>
    </row>
    <row r="77" spans="2:11" x14ac:dyDescent="0.25">
      <c r="B77" s="21">
        <v>2023</v>
      </c>
      <c r="C77" s="20" t="s">
        <v>60</v>
      </c>
      <c r="D77" s="22">
        <v>1207.674</v>
      </c>
      <c r="E77" s="20"/>
      <c r="F77" s="20"/>
      <c r="G77" s="20"/>
      <c r="H77" s="20"/>
      <c r="I77" s="20"/>
      <c r="J77" s="20"/>
      <c r="K77" s="20"/>
    </row>
    <row r="78" spans="2:11" x14ac:dyDescent="0.25">
      <c r="B78" s="21">
        <v>2023</v>
      </c>
      <c r="C78" s="20" t="s">
        <v>61</v>
      </c>
      <c r="D78" s="22">
        <v>886.04</v>
      </c>
      <c r="E78" s="20"/>
      <c r="F78" s="20"/>
      <c r="G78" s="20"/>
      <c r="H78" s="20"/>
      <c r="I78" s="20"/>
      <c r="J78" s="20"/>
      <c r="K78" s="20"/>
    </row>
    <row r="79" spans="2:11" x14ac:dyDescent="0.25">
      <c r="B79" s="21">
        <v>2023</v>
      </c>
      <c r="C79" s="20" t="s">
        <v>62</v>
      </c>
      <c r="D79" s="22">
        <v>1628.885</v>
      </c>
      <c r="E79" s="20"/>
      <c r="F79" s="20"/>
      <c r="G79" s="20"/>
      <c r="H79" s="20"/>
      <c r="I79" s="20"/>
      <c r="J79" s="20"/>
      <c r="K79" s="20"/>
    </row>
    <row r="80" spans="2:11" x14ac:dyDescent="0.25">
      <c r="B80" s="21">
        <v>2023</v>
      </c>
      <c r="C80" s="20" t="s">
        <v>63</v>
      </c>
      <c r="D80" s="22">
        <v>850.51400000000001</v>
      </c>
      <c r="E80" s="20"/>
      <c r="F80" s="20"/>
      <c r="G80" s="20"/>
      <c r="H80" s="20"/>
      <c r="I80" s="20"/>
      <c r="J80" s="20"/>
      <c r="K80" s="20"/>
    </row>
    <row r="81" spans="2:11" x14ac:dyDescent="0.25">
      <c r="B81" s="21">
        <v>2023</v>
      </c>
      <c r="C81" s="20" t="s">
        <v>64</v>
      </c>
      <c r="D81" s="22">
        <v>192.684</v>
      </c>
      <c r="E81" s="20"/>
      <c r="F81" s="20"/>
      <c r="G81" s="20"/>
      <c r="H81" s="20"/>
      <c r="I81" s="20"/>
      <c r="J81" s="20"/>
      <c r="K81" s="20"/>
    </row>
    <row r="82" spans="2:11" x14ac:dyDescent="0.25">
      <c r="B82" s="21">
        <v>2023</v>
      </c>
      <c r="C82" s="20" t="s">
        <v>65</v>
      </c>
      <c r="D82" s="22">
        <v>837.16499999999996</v>
      </c>
      <c r="E82" s="20"/>
      <c r="F82" s="20"/>
      <c r="G82" s="20"/>
      <c r="H82" s="20"/>
      <c r="I82" s="20"/>
      <c r="J82" s="20"/>
      <c r="K82" s="20"/>
    </row>
    <row r="83" spans="2:11" x14ac:dyDescent="0.25">
      <c r="B83" s="21">
        <v>2023</v>
      </c>
      <c r="C83" s="20" t="s">
        <v>66</v>
      </c>
      <c r="D83" s="22">
        <v>991.77800000000002</v>
      </c>
      <c r="E83" s="20"/>
      <c r="F83" s="20"/>
      <c r="G83" s="20"/>
      <c r="H83" s="20"/>
      <c r="I83" s="20"/>
      <c r="J83" s="20"/>
      <c r="K83" s="20"/>
    </row>
    <row r="84" spans="2:11" x14ac:dyDescent="0.25">
      <c r="B84" s="21">
        <v>2023</v>
      </c>
      <c r="C84" s="20" t="s">
        <v>67</v>
      </c>
      <c r="D84" s="22">
        <v>1667.7550000000001</v>
      </c>
      <c r="E84" s="20"/>
      <c r="F84" s="20"/>
      <c r="G84" s="20"/>
      <c r="H84" s="20"/>
      <c r="I84" s="20"/>
      <c r="J84" s="20"/>
      <c r="K84" s="20"/>
    </row>
    <row r="85" spans="2:11" x14ac:dyDescent="0.25">
      <c r="B85" s="21">
        <v>2023</v>
      </c>
      <c r="C85" s="20" t="s">
        <v>68</v>
      </c>
      <c r="D85" s="22">
        <v>1721.9870000000001</v>
      </c>
      <c r="E85" s="20"/>
      <c r="F85" s="20"/>
      <c r="G85" s="20"/>
      <c r="H85" s="20"/>
      <c r="I85" s="20"/>
      <c r="J85" s="20"/>
      <c r="K85" s="20"/>
    </row>
    <row r="86" spans="2:11" x14ac:dyDescent="0.25">
      <c r="B86" s="21">
        <v>2023</v>
      </c>
      <c r="C86" s="20" t="s">
        <v>69</v>
      </c>
      <c r="D86" s="22">
        <v>1694.43</v>
      </c>
      <c r="E86" s="20"/>
      <c r="F86" s="20"/>
      <c r="G86" s="20"/>
      <c r="H86" s="20"/>
      <c r="I86" s="20"/>
      <c r="J86" s="20"/>
      <c r="K86" s="20"/>
    </row>
    <row r="87" spans="2:11" x14ac:dyDescent="0.25">
      <c r="B87" s="21">
        <v>2023</v>
      </c>
      <c r="C87" s="20" t="s">
        <v>70</v>
      </c>
      <c r="D87" s="22">
        <v>942.84199999999998</v>
      </c>
      <c r="E87" s="20"/>
      <c r="F87" s="20"/>
      <c r="G87" s="20"/>
      <c r="H87" s="20"/>
      <c r="I87" s="20"/>
      <c r="J87" s="20"/>
      <c r="K87" s="20"/>
    </row>
    <row r="88" spans="2:11" x14ac:dyDescent="0.25">
      <c r="B88" s="21">
        <v>2023</v>
      </c>
      <c r="C88" s="20" t="s">
        <v>71</v>
      </c>
      <c r="D88" s="22">
        <v>1411.5730000000001</v>
      </c>
      <c r="E88" s="20"/>
      <c r="F88" s="20"/>
      <c r="G88" s="20"/>
      <c r="H88" s="20"/>
      <c r="I88" s="20"/>
      <c r="J88" s="20"/>
      <c r="K88" s="20"/>
    </row>
    <row r="89" spans="2:11" x14ac:dyDescent="0.25">
      <c r="B89" s="21">
        <v>2023</v>
      </c>
      <c r="C89" s="20" t="s">
        <v>72</v>
      </c>
      <c r="D89" s="22">
        <v>2034.8140000000001</v>
      </c>
      <c r="E89" s="20"/>
      <c r="F89" s="20"/>
      <c r="G89" s="20"/>
      <c r="H89" s="20"/>
      <c r="I89" s="20"/>
      <c r="J89" s="20"/>
      <c r="K89" s="20"/>
    </row>
    <row r="90" spans="2:11" x14ac:dyDescent="0.25">
      <c r="B90" s="21">
        <v>2023</v>
      </c>
      <c r="C90" s="20" t="s">
        <v>73</v>
      </c>
      <c r="D90" s="22">
        <v>2050.66</v>
      </c>
      <c r="E90" s="20"/>
      <c r="F90" s="20"/>
      <c r="G90" s="20"/>
      <c r="H90" s="20"/>
      <c r="I90" s="20"/>
      <c r="J90" s="20"/>
      <c r="K90" s="20"/>
    </row>
    <row r="91" spans="2:11" x14ac:dyDescent="0.25">
      <c r="B91" s="21">
        <v>2023</v>
      </c>
      <c r="C91" s="20" t="s">
        <v>74</v>
      </c>
      <c r="D91" s="22">
        <v>1939.7650000000001</v>
      </c>
      <c r="E91" s="20"/>
      <c r="F91" s="20"/>
      <c r="G91" s="20"/>
      <c r="H91" s="20"/>
      <c r="I91" s="20"/>
      <c r="J91" s="20"/>
      <c r="K91" s="20"/>
    </row>
    <row r="92" spans="2:11" x14ac:dyDescent="0.25">
      <c r="B92" s="21">
        <v>2023</v>
      </c>
      <c r="C92" s="20" t="s">
        <v>75</v>
      </c>
      <c r="D92" s="22">
        <v>1018.054</v>
      </c>
      <c r="E92" s="20"/>
      <c r="F92" s="20"/>
      <c r="G92" s="20"/>
      <c r="H92" s="20"/>
      <c r="I92" s="20"/>
      <c r="J92" s="20"/>
      <c r="K92" s="20"/>
    </row>
    <row r="93" spans="2:11" x14ac:dyDescent="0.25">
      <c r="B93" s="21">
        <v>2023</v>
      </c>
      <c r="C93" s="20" t="s">
        <v>76</v>
      </c>
      <c r="D93" s="22">
        <v>937.80499999999995</v>
      </c>
      <c r="E93" s="20"/>
      <c r="F93" s="20"/>
      <c r="G93" s="20"/>
      <c r="H93" s="20"/>
      <c r="I93" s="20"/>
      <c r="J93" s="20"/>
      <c r="K93" s="20"/>
    </row>
    <row r="94" spans="2:11" x14ac:dyDescent="0.25">
      <c r="B94" s="21">
        <v>2023</v>
      </c>
      <c r="C94" s="20" t="s">
        <v>77</v>
      </c>
      <c r="D94" s="22">
        <v>1221.6189999999999</v>
      </c>
      <c r="E94" s="20"/>
      <c r="F94" s="20"/>
      <c r="G94" s="20"/>
      <c r="H94" s="20"/>
      <c r="I94" s="20"/>
      <c r="J94" s="20"/>
      <c r="K94" s="20"/>
    </row>
    <row r="95" spans="2:11" x14ac:dyDescent="0.25">
      <c r="B95" s="21">
        <v>2023</v>
      </c>
      <c r="C95" s="20" t="s">
        <v>78</v>
      </c>
      <c r="D95" s="22">
        <v>747.21799999999996</v>
      </c>
      <c r="E95" s="20"/>
      <c r="F95" s="20"/>
      <c r="G95" s="20"/>
      <c r="H95" s="20"/>
      <c r="I95" s="20"/>
      <c r="J95" s="20"/>
      <c r="K95" s="20"/>
    </row>
    <row r="96" spans="2:11" x14ac:dyDescent="0.25">
      <c r="B96" s="21">
        <v>2023</v>
      </c>
      <c r="C96" s="20" t="s">
        <v>79</v>
      </c>
      <c r="D96" s="22">
        <v>1469.21</v>
      </c>
      <c r="E96" s="20"/>
      <c r="F96" s="20"/>
      <c r="G96" s="20"/>
      <c r="H96" s="20"/>
      <c r="I96" s="20"/>
      <c r="J96" s="20"/>
      <c r="K96" s="20"/>
    </row>
    <row r="97" spans="2:11" x14ac:dyDescent="0.25">
      <c r="B97" s="21">
        <v>2023</v>
      </c>
      <c r="C97" s="20" t="s">
        <v>80</v>
      </c>
      <c r="D97" s="22">
        <v>1531.4090000000001</v>
      </c>
      <c r="E97" s="20"/>
      <c r="F97" s="20"/>
      <c r="G97" s="20"/>
      <c r="H97" s="20"/>
      <c r="I97" s="20"/>
      <c r="J97" s="20"/>
      <c r="K97" s="20"/>
    </row>
    <row r="98" spans="2:11" x14ac:dyDescent="0.25">
      <c r="B98" s="21">
        <v>2023</v>
      </c>
      <c r="C98" s="20" t="s">
        <v>81</v>
      </c>
      <c r="D98" s="22">
        <v>1868.3689999999999</v>
      </c>
      <c r="E98" s="20"/>
      <c r="F98" s="20"/>
      <c r="G98" s="20"/>
      <c r="H98" s="20"/>
      <c r="I98" s="20"/>
      <c r="J98" s="20"/>
      <c r="K98" s="20"/>
    </row>
    <row r="99" spans="2:11" x14ac:dyDescent="0.25">
      <c r="B99" s="21">
        <v>2023</v>
      </c>
      <c r="C99" s="20" t="s">
        <v>82</v>
      </c>
      <c r="D99" s="22">
        <v>1044.653</v>
      </c>
      <c r="E99" s="20"/>
      <c r="F99" s="20"/>
      <c r="G99" s="20"/>
      <c r="H99" s="20"/>
      <c r="I99" s="20"/>
      <c r="J99" s="20"/>
      <c r="K99" s="20"/>
    </row>
    <row r="100" spans="2:11" x14ac:dyDescent="0.25">
      <c r="B100" s="21">
        <v>2023</v>
      </c>
      <c r="C100" s="20" t="s">
        <v>83</v>
      </c>
      <c r="D100" s="22">
        <v>1833.4760000000001</v>
      </c>
      <c r="E100" s="20"/>
      <c r="F100" s="20"/>
      <c r="G100" s="20"/>
      <c r="H100" s="20"/>
      <c r="I100" s="20"/>
      <c r="J100" s="20"/>
      <c r="K100" s="20"/>
    </row>
    <row r="101" spans="2:11" x14ac:dyDescent="0.25">
      <c r="B101" s="21">
        <v>2023</v>
      </c>
      <c r="C101" s="20" t="s">
        <v>84</v>
      </c>
      <c r="D101" s="22">
        <v>1283.537</v>
      </c>
      <c r="E101" s="20"/>
      <c r="F101" s="20"/>
      <c r="G101" s="20"/>
      <c r="H101" s="20"/>
      <c r="I101" s="20"/>
      <c r="J101" s="20"/>
      <c r="K101" s="20"/>
    </row>
    <row r="102" spans="2:11" x14ac:dyDescent="0.25">
      <c r="B102" s="21">
        <v>2023</v>
      </c>
      <c r="C102" s="20" t="s">
        <v>85</v>
      </c>
      <c r="D102" s="22">
        <v>2051.0149999999999</v>
      </c>
      <c r="E102" s="20"/>
      <c r="F102" s="20"/>
      <c r="G102" s="20"/>
      <c r="H102" s="20"/>
      <c r="I102" s="20"/>
      <c r="J102" s="20"/>
      <c r="K102" s="20"/>
    </row>
    <row r="103" spans="2:11" x14ac:dyDescent="0.25">
      <c r="B103" s="21">
        <v>2023</v>
      </c>
      <c r="C103" s="20" t="s">
        <v>86</v>
      </c>
      <c r="D103" s="22">
        <v>2054.567</v>
      </c>
      <c r="E103" s="20"/>
      <c r="F103" s="20"/>
      <c r="G103" s="20"/>
      <c r="H103" s="20"/>
      <c r="I103" s="20"/>
      <c r="J103" s="20"/>
      <c r="K103" s="20"/>
    </row>
    <row r="104" spans="2:11" x14ac:dyDescent="0.25">
      <c r="B104" s="21">
        <v>2023</v>
      </c>
      <c r="C104" s="20" t="s">
        <v>87</v>
      </c>
      <c r="D104" s="22">
        <v>939.87099999999998</v>
      </c>
      <c r="E104" s="20"/>
      <c r="F104" s="20"/>
      <c r="G104" s="20"/>
      <c r="H104" s="20"/>
      <c r="I104" s="20"/>
      <c r="J104" s="20"/>
      <c r="K104" s="20"/>
    </row>
    <row r="105" spans="2:11" x14ac:dyDescent="0.25">
      <c r="B105" s="21">
        <v>2023</v>
      </c>
      <c r="C105" s="20" t="s">
        <v>88</v>
      </c>
      <c r="D105" s="22">
        <v>897.24099999999999</v>
      </c>
      <c r="E105" s="20"/>
      <c r="F105" s="20"/>
      <c r="G105" s="20"/>
      <c r="H105" s="20"/>
      <c r="I105" s="20"/>
      <c r="J105" s="20"/>
      <c r="K105" s="20"/>
    </row>
    <row r="106" spans="2:11" x14ac:dyDescent="0.25">
      <c r="B106" s="21">
        <v>2023</v>
      </c>
      <c r="C106" s="20" t="s">
        <v>89</v>
      </c>
      <c r="D106" s="22">
        <v>1495.5329999999999</v>
      </c>
      <c r="E106" s="20"/>
      <c r="F106" s="20"/>
      <c r="G106" s="20"/>
      <c r="H106" s="20"/>
      <c r="I106" s="20"/>
      <c r="J106" s="20"/>
      <c r="K106" s="20"/>
    </row>
    <row r="107" spans="2:11" x14ac:dyDescent="0.25">
      <c r="B107" s="21">
        <v>2023</v>
      </c>
      <c r="C107" s="20" t="s">
        <v>90</v>
      </c>
      <c r="D107" s="22">
        <v>1038.894</v>
      </c>
      <c r="E107" s="20"/>
      <c r="F107" s="20"/>
      <c r="G107" s="20"/>
      <c r="H107" s="20"/>
      <c r="I107" s="20"/>
      <c r="J107" s="20"/>
      <c r="K107" s="20"/>
    </row>
    <row r="108" spans="2:11" x14ac:dyDescent="0.25">
      <c r="B108" s="21">
        <v>2023</v>
      </c>
      <c r="C108" s="20" t="s">
        <v>91</v>
      </c>
      <c r="D108" s="22">
        <v>1024.9110000000001</v>
      </c>
      <c r="E108" s="20"/>
      <c r="F108" s="20"/>
      <c r="G108" s="20"/>
      <c r="H108" s="20"/>
      <c r="I108" s="20"/>
      <c r="J108" s="20"/>
      <c r="K108" s="20"/>
    </row>
    <row r="109" spans="2:11" x14ac:dyDescent="0.25">
      <c r="B109" s="21">
        <v>2023</v>
      </c>
      <c r="C109" s="20" t="s">
        <v>92</v>
      </c>
      <c r="D109" s="22">
        <v>1551.6420000000001</v>
      </c>
      <c r="E109" s="20"/>
      <c r="F109" s="20"/>
      <c r="G109" s="20"/>
      <c r="H109" s="20"/>
      <c r="I109" s="20"/>
      <c r="J109" s="20"/>
      <c r="K109" s="20"/>
    </row>
    <row r="110" spans="2:11" x14ac:dyDescent="0.25">
      <c r="B110" s="21">
        <v>2023</v>
      </c>
      <c r="C110" s="20" t="s">
        <v>93</v>
      </c>
      <c r="D110" s="22">
        <v>1285.6120000000001</v>
      </c>
      <c r="E110" s="20"/>
      <c r="F110" s="20"/>
      <c r="G110" s="20"/>
      <c r="H110" s="20"/>
      <c r="I110" s="20"/>
      <c r="J110" s="20"/>
      <c r="K110" s="20"/>
    </row>
    <row r="111" spans="2:11" x14ac:dyDescent="0.25">
      <c r="B111" s="21">
        <v>2023</v>
      </c>
      <c r="C111" s="20" t="s">
        <v>94</v>
      </c>
      <c r="D111" s="22">
        <v>934.47400000000005</v>
      </c>
      <c r="E111" s="20"/>
      <c r="F111" s="20"/>
      <c r="G111" s="20"/>
      <c r="H111" s="20"/>
      <c r="I111" s="20"/>
      <c r="J111" s="20"/>
      <c r="K111" s="20"/>
    </row>
    <row r="112" spans="2:11" x14ac:dyDescent="0.25">
      <c r="B112" s="21">
        <v>2023</v>
      </c>
      <c r="C112" s="20" t="s">
        <v>95</v>
      </c>
      <c r="D112" s="22">
        <v>1344.51</v>
      </c>
      <c r="E112" s="20"/>
      <c r="F112" s="20"/>
      <c r="G112" s="20"/>
      <c r="H112" s="20"/>
      <c r="I112" s="20"/>
      <c r="J112" s="20"/>
      <c r="K112" s="20"/>
    </row>
    <row r="113" spans="2:11" x14ac:dyDescent="0.25">
      <c r="B113" s="21">
        <v>2023</v>
      </c>
      <c r="C113" s="20" t="s">
        <v>96</v>
      </c>
      <c r="D113" s="22">
        <v>1642.029</v>
      </c>
      <c r="E113" s="20"/>
      <c r="F113" s="20"/>
      <c r="G113" s="20"/>
      <c r="H113" s="20"/>
      <c r="I113" s="20"/>
      <c r="J113" s="20"/>
      <c r="K113" s="20"/>
    </row>
    <row r="114" spans="2:11" x14ac:dyDescent="0.25">
      <c r="B114" s="21">
        <v>2023</v>
      </c>
      <c r="C114" s="20" t="s">
        <v>97</v>
      </c>
      <c r="D114" s="22">
        <v>943.29200000000003</v>
      </c>
      <c r="E114" s="20"/>
      <c r="F114" s="20"/>
      <c r="G114" s="20"/>
      <c r="H114" s="20"/>
      <c r="I114" s="20"/>
      <c r="J114" s="20"/>
      <c r="K114" s="20"/>
    </row>
    <row r="115" spans="2:11" x14ac:dyDescent="0.25">
      <c r="B115" s="21">
        <v>2023</v>
      </c>
      <c r="C115" s="20" t="s">
        <v>98</v>
      </c>
      <c r="D115" s="22">
        <v>1585.2560000000001</v>
      </c>
      <c r="E115" s="20"/>
      <c r="F115" s="20"/>
      <c r="G115" s="20"/>
      <c r="H115" s="20"/>
      <c r="I115" s="20"/>
      <c r="J115" s="20"/>
      <c r="K115" s="20"/>
    </row>
    <row r="116" spans="2:11" x14ac:dyDescent="0.25">
      <c r="B116" s="21">
        <v>2023</v>
      </c>
      <c r="C116" s="20" t="s">
        <v>99</v>
      </c>
      <c r="D116" s="22">
        <v>1529.0740000000001</v>
      </c>
      <c r="E116" s="20"/>
      <c r="F116" s="20"/>
      <c r="G116" s="20"/>
      <c r="H116" s="20"/>
      <c r="I116" s="20"/>
      <c r="J116" s="20"/>
      <c r="K116" s="20"/>
    </row>
    <row r="117" spans="2:11" x14ac:dyDescent="0.25">
      <c r="B117" s="21">
        <v>2023</v>
      </c>
      <c r="C117" s="20" t="s">
        <v>100</v>
      </c>
      <c r="D117" s="22">
        <v>1743.7339999999999</v>
      </c>
      <c r="E117" s="20"/>
      <c r="F117" s="20"/>
      <c r="G117" s="20"/>
      <c r="H117" s="20"/>
      <c r="I117" s="20"/>
      <c r="J117" s="20"/>
      <c r="K117" s="20"/>
    </row>
    <row r="118" spans="2:11" x14ac:dyDescent="0.25">
      <c r="B118" s="21">
        <v>2023</v>
      </c>
      <c r="C118" s="20" t="s">
        <v>101</v>
      </c>
      <c r="D118" s="22">
        <v>1285.6990000000001</v>
      </c>
      <c r="E118" s="20"/>
      <c r="F118" s="20"/>
      <c r="G118" s="20"/>
      <c r="H118" s="20"/>
      <c r="I118" s="20"/>
      <c r="J118" s="20"/>
      <c r="K118" s="20"/>
    </row>
    <row r="119" spans="2:11" x14ac:dyDescent="0.25">
      <c r="B119" s="21">
        <v>2023</v>
      </c>
      <c r="C119" s="20" t="s">
        <v>102</v>
      </c>
      <c r="D119" s="22">
        <v>1946.8879999999999</v>
      </c>
      <c r="E119" s="20"/>
      <c r="F119" s="20"/>
      <c r="G119" s="20"/>
      <c r="H119" s="20"/>
      <c r="I119" s="20"/>
      <c r="J119" s="20"/>
      <c r="K119" s="20"/>
    </row>
    <row r="120" spans="2:11" x14ac:dyDescent="0.25">
      <c r="B120" s="21">
        <v>2023</v>
      </c>
      <c r="C120" s="20" t="s">
        <v>103</v>
      </c>
      <c r="D120" s="22">
        <v>960.78800000000001</v>
      </c>
      <c r="E120" s="20"/>
      <c r="F120" s="20"/>
      <c r="G120" s="20"/>
      <c r="H120" s="20"/>
      <c r="I120" s="20"/>
      <c r="J120" s="20"/>
      <c r="K120" s="20"/>
    </row>
    <row r="121" spans="2:11" x14ac:dyDescent="0.25">
      <c r="B121" s="21">
        <v>2023</v>
      </c>
      <c r="C121" s="20" t="s">
        <v>104</v>
      </c>
      <c r="D121" s="22">
        <v>598.85799999999995</v>
      </c>
      <c r="E121" s="20"/>
      <c r="F121" s="20"/>
      <c r="G121" s="20"/>
      <c r="H121" s="20"/>
      <c r="I121" s="20"/>
      <c r="J121" s="20"/>
      <c r="K121" s="20"/>
    </row>
    <row r="122" spans="2:11" x14ac:dyDescent="0.25">
      <c r="B122" s="21">
        <v>2023</v>
      </c>
      <c r="C122" s="20" t="s">
        <v>105</v>
      </c>
      <c r="D122" s="22">
        <v>1052.912</v>
      </c>
      <c r="E122" s="20"/>
      <c r="F122" s="20"/>
      <c r="G122" s="20"/>
      <c r="H122" s="20"/>
      <c r="I122" s="20"/>
      <c r="J122" s="20"/>
      <c r="K122" s="20"/>
    </row>
    <row r="123" spans="2:11" x14ac:dyDescent="0.25">
      <c r="B123" s="21">
        <v>2023</v>
      </c>
      <c r="C123" s="20" t="s">
        <v>106</v>
      </c>
      <c r="D123" s="22">
        <v>1824.162</v>
      </c>
      <c r="E123" s="20"/>
      <c r="F123" s="20"/>
      <c r="G123" s="20"/>
      <c r="H123" s="20"/>
      <c r="I123" s="20"/>
      <c r="J123" s="20"/>
      <c r="K123" s="20"/>
    </row>
    <row r="124" spans="2:11" x14ac:dyDescent="0.25">
      <c r="B124" s="21">
        <v>2023</v>
      </c>
      <c r="C124" s="20" t="s">
        <v>107</v>
      </c>
      <c r="D124" s="22">
        <v>2165.2190000000001</v>
      </c>
      <c r="E124" s="20"/>
      <c r="F124" s="20"/>
      <c r="G124" s="20"/>
      <c r="H124" s="20"/>
      <c r="I124" s="20"/>
      <c r="J124" s="20"/>
      <c r="K124" s="20"/>
    </row>
    <row r="125" spans="2:11" ht="15.75" thickBot="1" x14ac:dyDescent="0.3">
      <c r="B125" s="23">
        <v>2023</v>
      </c>
      <c r="C125" s="24" t="s">
        <v>108</v>
      </c>
      <c r="D125" s="25">
        <v>2373.7310000000002</v>
      </c>
      <c r="E125" s="20"/>
      <c r="F125" s="20"/>
      <c r="G125" s="20"/>
      <c r="H125" s="20"/>
      <c r="I125" s="20"/>
      <c r="J125" s="20"/>
      <c r="K125" s="20"/>
    </row>
    <row r="126" spans="2:11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2:11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32" spans="2:12" ht="15.75" thickBot="1" x14ac:dyDescent="0.3"/>
    <row r="133" spans="2:12" ht="15.75" customHeight="1" x14ac:dyDescent="0.25">
      <c r="B133" s="67" t="s">
        <v>211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9"/>
    </row>
    <row r="134" spans="2:12" ht="15.75" customHeight="1" x14ac:dyDescent="0.25">
      <c r="B134" s="70"/>
      <c r="C134" s="71"/>
      <c r="D134" s="71"/>
      <c r="E134" s="71"/>
      <c r="F134" s="71"/>
      <c r="G134" s="71"/>
      <c r="H134" s="71"/>
      <c r="I134" s="71"/>
      <c r="J134" s="71"/>
      <c r="K134" s="71"/>
      <c r="L134" s="72"/>
    </row>
    <row r="135" spans="2:12" ht="15" customHeight="1" x14ac:dyDescent="0.25">
      <c r="B135" s="26" t="s">
        <v>109</v>
      </c>
      <c r="C135" s="64" t="s">
        <v>110</v>
      </c>
      <c r="D135" s="65"/>
      <c r="E135" s="64" t="s">
        <v>210</v>
      </c>
      <c r="F135" s="66"/>
      <c r="G135" s="64"/>
      <c r="H135" s="65"/>
      <c r="I135" s="64"/>
      <c r="J135" s="65"/>
      <c r="K135" s="64"/>
      <c r="L135" s="66"/>
    </row>
    <row r="136" spans="2:12" ht="26.25" x14ac:dyDescent="0.25">
      <c r="B136" s="26" t="s">
        <v>111</v>
      </c>
      <c r="C136" s="27" t="s">
        <v>112</v>
      </c>
      <c r="D136" s="27" t="s">
        <v>113</v>
      </c>
      <c r="E136" s="27" t="s">
        <v>112</v>
      </c>
      <c r="F136" s="28" t="s">
        <v>113</v>
      </c>
      <c r="G136" s="27"/>
      <c r="H136" s="27"/>
      <c r="I136" s="27"/>
      <c r="J136" s="27"/>
      <c r="K136" s="27"/>
      <c r="L136" s="28"/>
    </row>
    <row r="137" spans="2:12" x14ac:dyDescent="0.25">
      <c r="B137" s="29" t="s">
        <v>38</v>
      </c>
      <c r="C137" s="30">
        <v>15.75</v>
      </c>
      <c r="D137" s="30">
        <v>14.69</v>
      </c>
      <c r="E137" s="30">
        <v>26.33</v>
      </c>
      <c r="F137" s="31">
        <v>25.42</v>
      </c>
      <c r="G137" s="30"/>
      <c r="H137" s="30"/>
      <c r="I137" s="30"/>
      <c r="J137" s="30"/>
      <c r="K137" s="30"/>
      <c r="L137" s="31"/>
    </row>
    <row r="138" spans="2:12" x14ac:dyDescent="0.25">
      <c r="B138" s="32" t="s">
        <v>114</v>
      </c>
      <c r="C138" s="33">
        <v>20.83</v>
      </c>
      <c r="D138" s="33">
        <v>20.67</v>
      </c>
      <c r="E138" s="33">
        <v>26.62</v>
      </c>
      <c r="F138" s="34">
        <v>28.04</v>
      </c>
      <c r="G138" s="33"/>
      <c r="H138" s="33"/>
      <c r="I138" s="33"/>
      <c r="J138" s="33"/>
      <c r="K138" s="33"/>
      <c r="L138" s="34"/>
    </row>
    <row r="139" spans="2:12" x14ac:dyDescent="0.25">
      <c r="B139" s="32" t="s">
        <v>115</v>
      </c>
      <c r="C139" s="33" t="s">
        <v>116</v>
      </c>
      <c r="D139" s="33" t="s">
        <v>116</v>
      </c>
      <c r="E139" s="33">
        <v>26.05</v>
      </c>
      <c r="F139" s="34">
        <v>22.06</v>
      </c>
      <c r="G139" s="33"/>
      <c r="H139" s="33"/>
      <c r="I139" s="33"/>
      <c r="J139" s="33"/>
      <c r="K139" s="33"/>
      <c r="L139" s="34"/>
    </row>
    <row r="140" spans="2:12" x14ac:dyDescent="0.25">
      <c r="B140" s="32" t="s">
        <v>117</v>
      </c>
      <c r="C140" s="33">
        <v>12.35</v>
      </c>
      <c r="D140" s="33">
        <v>11.02</v>
      </c>
      <c r="E140" s="33">
        <v>27.34</v>
      </c>
      <c r="F140" s="34">
        <v>25.97</v>
      </c>
      <c r="G140" s="33"/>
      <c r="H140" s="33"/>
      <c r="I140" s="33"/>
      <c r="J140" s="33"/>
      <c r="K140" s="33"/>
      <c r="L140" s="34"/>
    </row>
    <row r="141" spans="2:12" x14ac:dyDescent="0.25">
      <c r="B141" s="32" t="s">
        <v>118</v>
      </c>
      <c r="C141" s="33" t="s">
        <v>116</v>
      </c>
      <c r="D141" s="33" t="s">
        <v>116</v>
      </c>
      <c r="E141" s="33">
        <v>24.13</v>
      </c>
      <c r="F141" s="34">
        <v>21.58</v>
      </c>
      <c r="G141" s="33"/>
      <c r="H141" s="33"/>
      <c r="I141" s="33"/>
      <c r="J141" s="33"/>
      <c r="K141" s="33"/>
      <c r="L141" s="34"/>
    </row>
    <row r="142" spans="2:12" x14ac:dyDescent="0.25">
      <c r="B142" s="32" t="s">
        <v>119</v>
      </c>
      <c r="C142" s="33">
        <v>23</v>
      </c>
      <c r="D142" s="33">
        <v>23.39</v>
      </c>
      <c r="E142" s="33">
        <v>26.75</v>
      </c>
      <c r="F142" s="34">
        <v>28.36</v>
      </c>
      <c r="G142" s="33"/>
      <c r="H142" s="33"/>
      <c r="I142" s="33"/>
      <c r="J142" s="33"/>
      <c r="K142" s="33"/>
      <c r="L142" s="34"/>
    </row>
    <row r="143" spans="2:12" x14ac:dyDescent="0.25">
      <c r="B143" s="32" t="s">
        <v>120</v>
      </c>
      <c r="C143" s="33" t="s">
        <v>116</v>
      </c>
      <c r="D143" s="33" t="s">
        <v>116</v>
      </c>
      <c r="E143" s="33">
        <v>20.27</v>
      </c>
      <c r="F143" s="34">
        <v>18.98</v>
      </c>
      <c r="G143" s="33"/>
      <c r="H143" s="33"/>
      <c r="I143" s="33"/>
      <c r="J143" s="33"/>
      <c r="K143" s="33"/>
      <c r="L143" s="34"/>
    </row>
    <row r="144" spans="2:12" x14ac:dyDescent="0.25">
      <c r="B144" s="29" t="s">
        <v>121</v>
      </c>
      <c r="C144" s="30">
        <v>18.579999999999998</v>
      </c>
      <c r="D144" s="30">
        <v>13.74</v>
      </c>
      <c r="E144" s="30">
        <v>20.190000000000001</v>
      </c>
      <c r="F144" s="31">
        <v>17.39</v>
      </c>
      <c r="G144" s="30"/>
      <c r="H144" s="30"/>
      <c r="I144" s="30"/>
      <c r="J144" s="30"/>
      <c r="K144" s="30"/>
      <c r="L144" s="31"/>
    </row>
    <row r="145" spans="2:12" x14ac:dyDescent="0.25">
      <c r="B145" s="32" t="s">
        <v>33</v>
      </c>
      <c r="C145" s="33">
        <v>13.35</v>
      </c>
      <c r="D145" s="33">
        <v>11.82</v>
      </c>
      <c r="E145" s="33">
        <v>19.64</v>
      </c>
      <c r="F145" s="34">
        <v>16.88</v>
      </c>
      <c r="G145" s="33"/>
      <c r="H145" s="33"/>
      <c r="I145" s="33"/>
      <c r="J145" s="33"/>
      <c r="K145" s="33"/>
      <c r="L145" s="34"/>
    </row>
    <row r="146" spans="2:12" x14ac:dyDescent="0.25">
      <c r="B146" s="32" t="s">
        <v>122</v>
      </c>
      <c r="C146" s="33">
        <v>20.45</v>
      </c>
      <c r="D146" s="33">
        <v>14.54</v>
      </c>
      <c r="E146" s="33">
        <v>24.26</v>
      </c>
      <c r="F146" s="34">
        <v>21.45</v>
      </c>
      <c r="G146" s="33"/>
      <c r="H146" s="33"/>
      <c r="I146" s="33"/>
      <c r="J146" s="33"/>
      <c r="K146" s="33"/>
      <c r="L146" s="34"/>
    </row>
    <row r="147" spans="2:12" x14ac:dyDescent="0.25">
      <c r="B147" s="32" t="s">
        <v>123</v>
      </c>
      <c r="C147" s="33">
        <v>12.59</v>
      </c>
      <c r="D147" s="33">
        <v>9.27</v>
      </c>
      <c r="E147" s="33">
        <v>16.559999999999999</v>
      </c>
      <c r="F147" s="34">
        <v>13.72</v>
      </c>
      <c r="G147" s="33"/>
      <c r="H147" s="33"/>
      <c r="I147" s="33"/>
      <c r="J147" s="33"/>
      <c r="K147" s="33"/>
      <c r="L147" s="34"/>
    </row>
    <row r="148" spans="2:12" x14ac:dyDescent="0.25">
      <c r="B148" s="29" t="s">
        <v>124</v>
      </c>
      <c r="C148" s="30">
        <v>8.64</v>
      </c>
      <c r="D148" s="30">
        <v>9.33</v>
      </c>
      <c r="E148" s="30">
        <v>14.01</v>
      </c>
      <c r="F148" s="31">
        <v>12.72</v>
      </c>
      <c r="G148" s="30"/>
      <c r="H148" s="30"/>
      <c r="I148" s="30"/>
      <c r="J148" s="30"/>
      <c r="K148" s="30"/>
      <c r="L148" s="31"/>
    </row>
    <row r="149" spans="2:12" x14ac:dyDescent="0.25">
      <c r="B149" s="32" t="s">
        <v>125</v>
      </c>
      <c r="C149" s="33">
        <v>8.2200000000000006</v>
      </c>
      <c r="D149" s="33">
        <v>9.1999999999999993</v>
      </c>
      <c r="E149" s="33">
        <v>13.5</v>
      </c>
      <c r="F149" s="34">
        <v>12.93</v>
      </c>
      <c r="G149" s="33"/>
      <c r="H149" s="33"/>
      <c r="I149" s="33"/>
      <c r="J149" s="33"/>
      <c r="K149" s="33"/>
      <c r="L149" s="34"/>
    </row>
    <row r="150" spans="2:12" x14ac:dyDescent="0.25">
      <c r="B150" s="32" t="s">
        <v>126</v>
      </c>
      <c r="C150" s="33">
        <v>13.95</v>
      </c>
      <c r="D150" s="33">
        <v>13.61</v>
      </c>
      <c r="E150" s="33">
        <v>13.16</v>
      </c>
      <c r="F150" s="34">
        <v>11.95</v>
      </c>
      <c r="G150" s="33"/>
      <c r="H150" s="33"/>
      <c r="I150" s="33"/>
      <c r="J150" s="33"/>
      <c r="K150" s="33"/>
      <c r="L150" s="34"/>
    </row>
    <row r="151" spans="2:12" x14ac:dyDescent="0.25">
      <c r="B151" s="32" t="s">
        <v>34</v>
      </c>
      <c r="C151" s="33">
        <v>13.85</v>
      </c>
      <c r="D151" s="33">
        <v>12.86</v>
      </c>
      <c r="E151" s="33">
        <v>15.17</v>
      </c>
      <c r="F151" s="34">
        <v>14.22</v>
      </c>
      <c r="G151" s="33"/>
      <c r="H151" s="33"/>
      <c r="I151" s="33"/>
      <c r="J151" s="33"/>
      <c r="K151" s="33"/>
      <c r="L151" s="34"/>
    </row>
    <row r="152" spans="2:12" x14ac:dyDescent="0.25">
      <c r="B152" s="32" t="s">
        <v>127</v>
      </c>
      <c r="C152" s="33">
        <v>9.85</v>
      </c>
      <c r="D152" s="33">
        <v>8.56</v>
      </c>
      <c r="E152" s="33">
        <v>14.36</v>
      </c>
      <c r="F152" s="34">
        <v>11.95</v>
      </c>
      <c r="G152" s="33"/>
      <c r="H152" s="33"/>
      <c r="I152" s="33"/>
      <c r="J152" s="33"/>
      <c r="K152" s="33"/>
      <c r="L152" s="34"/>
    </row>
    <row r="153" spans="2:12" x14ac:dyDescent="0.25">
      <c r="B153" s="32" t="s">
        <v>128</v>
      </c>
      <c r="C153" s="33">
        <v>19.55</v>
      </c>
      <c r="D153" s="33">
        <v>17.29</v>
      </c>
      <c r="E153" s="33">
        <v>13.88</v>
      </c>
      <c r="F153" s="34">
        <v>13.17</v>
      </c>
      <c r="G153" s="33"/>
      <c r="H153" s="33"/>
      <c r="I153" s="33"/>
      <c r="J153" s="33"/>
      <c r="K153" s="33"/>
      <c r="L153" s="34"/>
    </row>
    <row r="154" spans="2:12" x14ac:dyDescent="0.25">
      <c r="B154" s="29" t="s">
        <v>129</v>
      </c>
      <c r="C154" s="30">
        <v>10.35</v>
      </c>
      <c r="D154" s="30">
        <v>9.83</v>
      </c>
      <c r="E154" s="30">
        <v>10.64</v>
      </c>
      <c r="F154" s="31">
        <v>10.1</v>
      </c>
      <c r="G154" s="30"/>
      <c r="H154" s="30"/>
      <c r="I154" s="30"/>
      <c r="J154" s="30"/>
      <c r="K154" s="30"/>
      <c r="L154" s="31"/>
    </row>
    <row r="155" spans="2:12" x14ac:dyDescent="0.25">
      <c r="B155" s="32" t="s">
        <v>130</v>
      </c>
      <c r="C155" s="33" t="s">
        <v>116</v>
      </c>
      <c r="D155" s="33" t="s">
        <v>116</v>
      </c>
      <c r="E155" s="33">
        <v>9.41</v>
      </c>
      <c r="F155" s="34">
        <v>9.01</v>
      </c>
      <c r="G155" s="33"/>
      <c r="H155" s="33"/>
      <c r="I155" s="33"/>
      <c r="J155" s="33"/>
      <c r="K155" s="33"/>
      <c r="L155" s="34"/>
    </row>
    <row r="156" spans="2:12" x14ac:dyDescent="0.25">
      <c r="B156" s="32" t="s">
        <v>131</v>
      </c>
      <c r="C156" s="33" t="s">
        <v>116</v>
      </c>
      <c r="D156" s="33" t="s">
        <v>116</v>
      </c>
      <c r="E156" s="33">
        <v>11.77</v>
      </c>
      <c r="F156" s="34">
        <v>10.96</v>
      </c>
      <c r="G156" s="33"/>
      <c r="H156" s="33"/>
      <c r="I156" s="33"/>
      <c r="J156" s="33"/>
      <c r="K156" s="33"/>
      <c r="L156" s="34"/>
    </row>
    <row r="157" spans="2:12" x14ac:dyDescent="0.25">
      <c r="B157" s="32" t="s">
        <v>132</v>
      </c>
      <c r="C157" s="33">
        <v>11.52</v>
      </c>
      <c r="D157" s="33">
        <v>11.68</v>
      </c>
      <c r="E157" s="33">
        <v>12.37</v>
      </c>
      <c r="F157" s="34">
        <v>12.1</v>
      </c>
      <c r="G157" s="33"/>
      <c r="H157" s="33"/>
      <c r="I157" s="33"/>
      <c r="J157" s="33"/>
      <c r="K157" s="33"/>
      <c r="L157" s="34"/>
    </row>
    <row r="158" spans="2:12" x14ac:dyDescent="0.25">
      <c r="B158" s="32" t="s">
        <v>133</v>
      </c>
      <c r="C158" s="33">
        <v>9.67</v>
      </c>
      <c r="D158" s="33">
        <v>8.6999999999999993</v>
      </c>
      <c r="E158" s="33">
        <v>10.58</v>
      </c>
      <c r="F158" s="34">
        <v>10.08</v>
      </c>
      <c r="G158" s="33"/>
      <c r="H158" s="33"/>
      <c r="I158" s="33"/>
      <c r="J158" s="33"/>
      <c r="K158" s="33"/>
      <c r="L158" s="34"/>
    </row>
    <row r="159" spans="2:12" x14ac:dyDescent="0.25">
      <c r="B159" s="32" t="s">
        <v>134</v>
      </c>
      <c r="C159" s="33" t="s">
        <v>116</v>
      </c>
      <c r="D159" s="33" t="s">
        <v>116</v>
      </c>
      <c r="E159" s="33">
        <v>9.67</v>
      </c>
      <c r="F159" s="34">
        <v>8.8800000000000008</v>
      </c>
      <c r="G159" s="33"/>
      <c r="H159" s="33"/>
      <c r="I159" s="33"/>
      <c r="J159" s="33"/>
      <c r="K159" s="33"/>
      <c r="L159" s="34"/>
    </row>
    <row r="160" spans="2:12" x14ac:dyDescent="0.25">
      <c r="B160" s="32" t="s">
        <v>135</v>
      </c>
      <c r="C160" s="33" t="s">
        <v>116</v>
      </c>
      <c r="D160" s="33" t="s">
        <v>116</v>
      </c>
      <c r="E160" s="33">
        <v>8.66</v>
      </c>
      <c r="F160" s="34">
        <v>7.99</v>
      </c>
      <c r="G160" s="33"/>
      <c r="H160" s="33"/>
      <c r="I160" s="33"/>
      <c r="J160" s="33"/>
      <c r="K160" s="33"/>
      <c r="L160" s="34"/>
    </row>
    <row r="161" spans="2:12" x14ac:dyDescent="0.25">
      <c r="B161" s="32" t="s">
        <v>136</v>
      </c>
      <c r="C161" s="33" t="s">
        <v>116</v>
      </c>
      <c r="D161" s="33" t="s">
        <v>116</v>
      </c>
      <c r="E161" s="33">
        <v>11.85</v>
      </c>
      <c r="F161" s="34">
        <v>10.69</v>
      </c>
      <c r="G161" s="33"/>
      <c r="H161" s="33"/>
      <c r="I161" s="33"/>
      <c r="J161" s="33"/>
      <c r="K161" s="33"/>
      <c r="L161" s="34"/>
    </row>
    <row r="162" spans="2:12" x14ac:dyDescent="0.25">
      <c r="B162" s="29" t="s">
        <v>137</v>
      </c>
      <c r="C162" s="30">
        <v>13.9</v>
      </c>
      <c r="D162" s="30">
        <v>10.18</v>
      </c>
      <c r="E162" s="30">
        <v>13.69</v>
      </c>
      <c r="F162" s="31">
        <v>12.29</v>
      </c>
      <c r="G162" s="30"/>
      <c r="H162" s="30"/>
      <c r="I162" s="30"/>
      <c r="J162" s="30"/>
      <c r="K162" s="30"/>
      <c r="L162" s="31"/>
    </row>
    <row r="163" spans="2:12" x14ac:dyDescent="0.25">
      <c r="B163" s="32" t="s">
        <v>138</v>
      </c>
      <c r="C163" s="33" t="s">
        <v>116</v>
      </c>
      <c r="D163" s="33" t="s">
        <v>116</v>
      </c>
      <c r="E163" s="33">
        <v>15.2</v>
      </c>
      <c r="F163" s="34">
        <v>13.89</v>
      </c>
      <c r="G163" s="33"/>
      <c r="H163" s="33"/>
      <c r="I163" s="33"/>
      <c r="J163" s="33"/>
      <c r="K163" s="33"/>
      <c r="L163" s="34"/>
    </row>
    <row r="164" spans="2:12" x14ac:dyDescent="0.25">
      <c r="B164" s="32" t="s">
        <v>139</v>
      </c>
      <c r="C164" s="33">
        <v>16.010000000000002</v>
      </c>
      <c r="D164" s="33">
        <v>10.68</v>
      </c>
      <c r="E164" s="33">
        <v>23.63</v>
      </c>
      <c r="F164" s="34">
        <v>19.260000000000002</v>
      </c>
      <c r="G164" s="33"/>
      <c r="H164" s="33"/>
      <c r="I164" s="33"/>
      <c r="J164" s="33"/>
      <c r="K164" s="33"/>
      <c r="L164" s="34"/>
    </row>
    <row r="165" spans="2:12" x14ac:dyDescent="0.25">
      <c r="B165" s="32" t="s">
        <v>37</v>
      </c>
      <c r="C165" s="33">
        <v>11.96</v>
      </c>
      <c r="D165" s="33">
        <v>11.16</v>
      </c>
      <c r="E165" s="33">
        <v>14.17</v>
      </c>
      <c r="F165" s="34">
        <v>12.98</v>
      </c>
      <c r="G165" s="33"/>
      <c r="H165" s="33"/>
      <c r="I165" s="33"/>
      <c r="J165" s="33"/>
      <c r="K165" s="33"/>
      <c r="L165" s="34"/>
    </row>
    <row r="166" spans="2:12" x14ac:dyDescent="0.25">
      <c r="B166" s="32" t="s">
        <v>140</v>
      </c>
      <c r="C166" s="33">
        <v>8.6999999999999993</v>
      </c>
      <c r="D166" s="33">
        <v>7.57</v>
      </c>
      <c r="E166" s="33">
        <v>12.28</v>
      </c>
      <c r="F166" s="34">
        <v>11.7</v>
      </c>
      <c r="G166" s="33"/>
      <c r="H166" s="33"/>
      <c r="I166" s="33"/>
      <c r="J166" s="33"/>
      <c r="K166" s="33"/>
      <c r="L166" s="34"/>
    </row>
    <row r="167" spans="2:12" x14ac:dyDescent="0.25">
      <c r="B167" s="32" t="s">
        <v>141</v>
      </c>
      <c r="C167" s="33">
        <v>16.45</v>
      </c>
      <c r="D167" s="33">
        <v>11.66</v>
      </c>
      <c r="E167" s="33">
        <v>19.34</v>
      </c>
      <c r="F167" s="34">
        <v>16.23</v>
      </c>
      <c r="G167" s="33"/>
      <c r="H167" s="33"/>
      <c r="I167" s="33"/>
      <c r="J167" s="33"/>
      <c r="K167" s="33"/>
      <c r="L167" s="34"/>
    </row>
    <row r="168" spans="2:12" x14ac:dyDescent="0.25">
      <c r="B168" s="32" t="s">
        <v>142</v>
      </c>
      <c r="C168" s="33">
        <v>10.06</v>
      </c>
      <c r="D168" s="33">
        <v>10.07</v>
      </c>
      <c r="E168" s="33">
        <v>12.11</v>
      </c>
      <c r="F168" s="34">
        <v>11.47</v>
      </c>
      <c r="G168" s="33"/>
      <c r="H168" s="33"/>
      <c r="I168" s="33"/>
      <c r="J168" s="33"/>
      <c r="K168" s="33"/>
      <c r="L168" s="34"/>
    </row>
    <row r="169" spans="2:12" x14ac:dyDescent="0.25">
      <c r="B169" s="32" t="s">
        <v>143</v>
      </c>
      <c r="C169" s="33" t="s">
        <v>116</v>
      </c>
      <c r="D169" s="33" t="s">
        <v>116</v>
      </c>
      <c r="E169" s="33">
        <v>12.99</v>
      </c>
      <c r="F169" s="34">
        <v>11.47</v>
      </c>
      <c r="G169" s="33"/>
      <c r="H169" s="33"/>
      <c r="I169" s="33"/>
      <c r="J169" s="33"/>
      <c r="K169" s="33"/>
      <c r="L169" s="34"/>
    </row>
    <row r="170" spans="2:12" x14ac:dyDescent="0.25">
      <c r="B170" s="32" t="s">
        <v>144</v>
      </c>
      <c r="C170" s="33">
        <v>11.55</v>
      </c>
      <c r="D170" s="33">
        <v>8.9600000000000009</v>
      </c>
      <c r="E170" s="33">
        <v>13.5</v>
      </c>
      <c r="F170" s="34">
        <v>11.01</v>
      </c>
      <c r="G170" s="33"/>
      <c r="H170" s="33"/>
      <c r="I170" s="33"/>
      <c r="J170" s="33"/>
      <c r="K170" s="33"/>
      <c r="L170" s="34"/>
    </row>
    <row r="171" spans="2:12" x14ac:dyDescent="0.25">
      <c r="B171" s="32" t="s">
        <v>145</v>
      </c>
      <c r="C171" s="33" t="s">
        <v>116</v>
      </c>
      <c r="D171" s="33" t="s">
        <v>116</v>
      </c>
      <c r="E171" s="33">
        <v>11.71</v>
      </c>
      <c r="F171" s="34">
        <v>11.5</v>
      </c>
      <c r="G171" s="33"/>
      <c r="H171" s="33"/>
      <c r="I171" s="33"/>
      <c r="J171" s="33"/>
      <c r="K171" s="33"/>
      <c r="L171" s="34"/>
    </row>
    <row r="172" spans="2:12" x14ac:dyDescent="0.25">
      <c r="B172" s="29" t="s">
        <v>146</v>
      </c>
      <c r="C172" s="30" t="s">
        <v>116</v>
      </c>
      <c r="D172" s="30" t="s">
        <v>116</v>
      </c>
      <c r="E172" s="30">
        <v>12.08</v>
      </c>
      <c r="F172" s="31">
        <v>11.42</v>
      </c>
      <c r="G172" s="30"/>
      <c r="H172" s="30"/>
      <c r="I172" s="30"/>
      <c r="J172" s="30"/>
      <c r="K172" s="30"/>
      <c r="L172" s="31"/>
    </row>
    <row r="173" spans="2:12" x14ac:dyDescent="0.25">
      <c r="B173" s="32" t="s">
        <v>147</v>
      </c>
      <c r="C173" s="33" t="s">
        <v>116</v>
      </c>
      <c r="D173" s="33" t="s">
        <v>116</v>
      </c>
      <c r="E173" s="33">
        <v>12.94</v>
      </c>
      <c r="F173" s="34">
        <v>12.48</v>
      </c>
      <c r="G173" s="33"/>
      <c r="H173" s="33"/>
      <c r="I173" s="33"/>
      <c r="J173" s="33"/>
      <c r="K173" s="33"/>
      <c r="L173" s="34"/>
    </row>
    <row r="174" spans="2:12" x14ac:dyDescent="0.25">
      <c r="B174" s="32" t="s">
        <v>148</v>
      </c>
      <c r="C174" s="33" t="s">
        <v>116</v>
      </c>
      <c r="D174" s="33" t="s">
        <v>116</v>
      </c>
      <c r="E174" s="33">
        <v>11.69</v>
      </c>
      <c r="F174" s="34">
        <v>10.51</v>
      </c>
      <c r="G174" s="33"/>
      <c r="H174" s="33"/>
      <c r="I174" s="33"/>
      <c r="J174" s="33"/>
      <c r="K174" s="33"/>
      <c r="L174" s="34"/>
    </row>
    <row r="175" spans="2:12" x14ac:dyDescent="0.25">
      <c r="B175" s="32" t="s">
        <v>149</v>
      </c>
      <c r="C175" s="33" t="s">
        <v>116</v>
      </c>
      <c r="D175" s="33" t="s">
        <v>116</v>
      </c>
      <c r="E175" s="33">
        <v>12.16</v>
      </c>
      <c r="F175" s="34">
        <v>11.04</v>
      </c>
      <c r="G175" s="33"/>
      <c r="H175" s="33"/>
      <c r="I175" s="33"/>
      <c r="J175" s="33"/>
      <c r="K175" s="33"/>
      <c r="L175" s="34"/>
    </row>
    <row r="176" spans="2:12" x14ac:dyDescent="0.25">
      <c r="B176" s="32" t="s">
        <v>150</v>
      </c>
      <c r="C176" s="33" t="s">
        <v>116</v>
      </c>
      <c r="D176" s="33" t="s">
        <v>116</v>
      </c>
      <c r="E176" s="33">
        <v>11.64</v>
      </c>
      <c r="F176" s="34">
        <v>11.38</v>
      </c>
      <c r="G176" s="33"/>
      <c r="H176" s="33"/>
      <c r="I176" s="33"/>
      <c r="J176" s="33"/>
      <c r="K176" s="33"/>
      <c r="L176" s="34"/>
    </row>
    <row r="177" spans="2:12" x14ac:dyDescent="0.25">
      <c r="B177" s="29" t="s">
        <v>151</v>
      </c>
      <c r="C177" s="30">
        <v>10.7</v>
      </c>
      <c r="D177" s="30">
        <v>7.31</v>
      </c>
      <c r="E177" s="30">
        <v>10.25</v>
      </c>
      <c r="F177" s="31">
        <v>9.57</v>
      </c>
      <c r="G177" s="30"/>
      <c r="H177" s="30"/>
      <c r="I177" s="30"/>
      <c r="J177" s="30"/>
      <c r="K177" s="30"/>
      <c r="L177" s="31"/>
    </row>
    <row r="178" spans="2:12" x14ac:dyDescent="0.25">
      <c r="B178" s="32" t="s">
        <v>152</v>
      </c>
      <c r="C178" s="33">
        <v>13.24</v>
      </c>
      <c r="D178" s="33">
        <v>11.84</v>
      </c>
      <c r="E178" s="33">
        <v>10.01</v>
      </c>
      <c r="F178" s="34">
        <v>9.32</v>
      </c>
      <c r="G178" s="33"/>
      <c r="H178" s="33"/>
      <c r="I178" s="33"/>
      <c r="J178" s="33"/>
      <c r="K178" s="33"/>
      <c r="L178" s="34"/>
    </row>
    <row r="179" spans="2:12" x14ac:dyDescent="0.25">
      <c r="B179" s="32" t="s">
        <v>153</v>
      </c>
      <c r="C179" s="33">
        <v>10.73</v>
      </c>
      <c r="D179" s="33">
        <v>10.98</v>
      </c>
      <c r="E179" s="33">
        <v>9.61</v>
      </c>
      <c r="F179" s="34">
        <v>8.66</v>
      </c>
      <c r="G179" s="33"/>
      <c r="H179" s="33"/>
      <c r="I179" s="33"/>
      <c r="J179" s="33"/>
      <c r="K179" s="33"/>
      <c r="L179" s="34"/>
    </row>
    <row r="180" spans="2:12" x14ac:dyDescent="0.25">
      <c r="B180" s="32" t="s">
        <v>154</v>
      </c>
      <c r="C180" s="33" t="s">
        <v>116</v>
      </c>
      <c r="D180" s="33" t="s">
        <v>116</v>
      </c>
      <c r="E180" s="33">
        <v>9.74</v>
      </c>
      <c r="F180" s="34">
        <v>8.83</v>
      </c>
      <c r="G180" s="33"/>
      <c r="H180" s="33"/>
      <c r="I180" s="33"/>
      <c r="J180" s="33"/>
      <c r="K180" s="33"/>
      <c r="L180" s="34"/>
    </row>
    <row r="181" spans="2:12" x14ac:dyDescent="0.25">
      <c r="B181" s="32" t="s">
        <v>36</v>
      </c>
      <c r="C181" s="33">
        <v>7.58</v>
      </c>
      <c r="D181" s="33">
        <v>3.9</v>
      </c>
      <c r="E181" s="33">
        <v>10.48</v>
      </c>
      <c r="F181" s="34">
        <v>9.89</v>
      </c>
      <c r="G181" s="33"/>
      <c r="H181" s="33"/>
      <c r="I181" s="33"/>
      <c r="J181" s="33"/>
      <c r="K181" s="33"/>
      <c r="L181" s="34"/>
    </row>
    <row r="182" spans="2:12" x14ac:dyDescent="0.25">
      <c r="B182" s="29" t="s">
        <v>155</v>
      </c>
      <c r="C182" s="30">
        <v>10.94</v>
      </c>
      <c r="D182" s="30">
        <v>10.119999999999999</v>
      </c>
      <c r="E182" s="30">
        <v>11.25</v>
      </c>
      <c r="F182" s="31">
        <v>10.78</v>
      </c>
      <c r="G182" s="30"/>
      <c r="H182" s="30"/>
      <c r="I182" s="30"/>
      <c r="J182" s="30"/>
      <c r="K182" s="30"/>
      <c r="L182" s="31"/>
    </row>
    <row r="183" spans="2:12" x14ac:dyDescent="0.25">
      <c r="B183" s="32" t="s">
        <v>156</v>
      </c>
      <c r="C183" s="33">
        <v>9.74</v>
      </c>
      <c r="D183" s="33">
        <v>10.66</v>
      </c>
      <c r="E183" s="33">
        <v>12.24</v>
      </c>
      <c r="F183" s="34">
        <v>12.3</v>
      </c>
      <c r="G183" s="33"/>
      <c r="H183" s="33"/>
      <c r="I183" s="33"/>
      <c r="J183" s="33"/>
      <c r="K183" s="33"/>
      <c r="L183" s="34"/>
    </row>
    <row r="184" spans="2:12" x14ac:dyDescent="0.25">
      <c r="B184" s="32" t="s">
        <v>157</v>
      </c>
      <c r="C184" s="33">
        <v>10.37</v>
      </c>
      <c r="D184" s="33">
        <v>9.01</v>
      </c>
      <c r="E184" s="33">
        <v>13.25</v>
      </c>
      <c r="F184" s="34">
        <v>11.89</v>
      </c>
      <c r="G184" s="33"/>
      <c r="H184" s="33"/>
      <c r="I184" s="33"/>
      <c r="J184" s="33"/>
      <c r="K184" s="33"/>
      <c r="L184" s="34"/>
    </row>
    <row r="185" spans="2:12" x14ac:dyDescent="0.25">
      <c r="B185" s="32" t="s">
        <v>158</v>
      </c>
      <c r="C185" s="33" t="s">
        <v>116</v>
      </c>
      <c r="D185" s="33" t="s">
        <v>116</v>
      </c>
      <c r="E185" s="33">
        <v>9.9700000000000006</v>
      </c>
      <c r="F185" s="34">
        <v>9.31</v>
      </c>
      <c r="G185" s="33"/>
      <c r="H185" s="33"/>
      <c r="I185" s="33"/>
      <c r="J185" s="33"/>
      <c r="K185" s="33"/>
      <c r="L185" s="34"/>
    </row>
    <row r="186" spans="2:12" x14ac:dyDescent="0.25">
      <c r="B186" s="32" t="s">
        <v>159</v>
      </c>
      <c r="C186" s="33" t="s">
        <v>116</v>
      </c>
      <c r="D186" s="33" t="s">
        <v>116</v>
      </c>
      <c r="E186" s="33">
        <v>11.26</v>
      </c>
      <c r="F186" s="34">
        <v>10.09</v>
      </c>
      <c r="G186" s="33"/>
      <c r="H186" s="33"/>
      <c r="I186" s="33"/>
      <c r="J186" s="33"/>
      <c r="K186" s="33"/>
      <c r="L186" s="34"/>
    </row>
    <row r="187" spans="2:12" x14ac:dyDescent="0.25">
      <c r="B187" s="32" t="s">
        <v>160</v>
      </c>
      <c r="C187" s="33">
        <v>9.8000000000000007</v>
      </c>
      <c r="D187" s="33">
        <v>8.6300000000000008</v>
      </c>
      <c r="E187" s="33">
        <v>10.15</v>
      </c>
      <c r="F187" s="34">
        <v>10.06</v>
      </c>
      <c r="G187" s="33"/>
      <c r="H187" s="33"/>
      <c r="I187" s="33"/>
      <c r="J187" s="33"/>
      <c r="K187" s="33"/>
      <c r="L187" s="34"/>
    </row>
    <row r="188" spans="2:12" x14ac:dyDescent="0.25">
      <c r="B188" s="32" t="s">
        <v>161</v>
      </c>
      <c r="C188" s="33" t="s">
        <v>116</v>
      </c>
      <c r="D188" s="33" t="s">
        <v>116</v>
      </c>
      <c r="E188" s="33">
        <v>9.1</v>
      </c>
      <c r="F188" s="34">
        <v>9.19</v>
      </c>
      <c r="G188" s="33"/>
      <c r="H188" s="33"/>
      <c r="I188" s="33"/>
      <c r="J188" s="33"/>
      <c r="K188" s="33"/>
      <c r="L188" s="34"/>
    </row>
    <row r="189" spans="2:12" x14ac:dyDescent="0.25">
      <c r="B189" s="32" t="s">
        <v>162</v>
      </c>
      <c r="C189" s="33">
        <v>12.16</v>
      </c>
      <c r="D189" s="33">
        <v>12.33</v>
      </c>
      <c r="E189" s="33">
        <v>10.52</v>
      </c>
      <c r="F189" s="34">
        <v>10.029999999999999</v>
      </c>
      <c r="G189" s="33"/>
      <c r="H189" s="33"/>
      <c r="I189" s="33"/>
      <c r="J189" s="33"/>
      <c r="K189" s="33"/>
      <c r="L189" s="34"/>
    </row>
    <row r="190" spans="2:12" x14ac:dyDescent="0.25">
      <c r="B190" s="32" t="s">
        <v>163</v>
      </c>
      <c r="C190" s="33" t="s">
        <v>116</v>
      </c>
      <c r="D190" s="33" t="s">
        <v>116</v>
      </c>
      <c r="E190" s="33">
        <v>9.9499999999999993</v>
      </c>
      <c r="F190" s="34">
        <v>9.48</v>
      </c>
      <c r="G190" s="33"/>
      <c r="H190" s="33"/>
      <c r="I190" s="33"/>
      <c r="J190" s="33"/>
      <c r="K190" s="33"/>
      <c r="L190" s="34"/>
    </row>
    <row r="191" spans="2:12" x14ac:dyDescent="0.25">
      <c r="B191" s="29" t="s">
        <v>164</v>
      </c>
      <c r="C191" s="30">
        <v>15.91</v>
      </c>
      <c r="D191" s="30">
        <v>15.46</v>
      </c>
      <c r="E191" s="30">
        <v>19.96</v>
      </c>
      <c r="F191" s="31">
        <v>19.37</v>
      </c>
      <c r="G191" s="30"/>
      <c r="H191" s="30"/>
      <c r="I191" s="30"/>
      <c r="J191" s="30"/>
      <c r="K191" s="30"/>
      <c r="L191" s="31"/>
    </row>
    <row r="192" spans="2:12" x14ac:dyDescent="0.25">
      <c r="B192" s="32" t="s">
        <v>35</v>
      </c>
      <c r="C192" s="33">
        <v>16.37</v>
      </c>
      <c r="D192" s="33">
        <v>16.18</v>
      </c>
      <c r="E192" s="33">
        <v>26.02</v>
      </c>
      <c r="F192" s="34">
        <v>25.84</v>
      </c>
      <c r="G192" s="33"/>
      <c r="H192" s="33"/>
      <c r="I192" s="33"/>
      <c r="J192" s="33"/>
      <c r="K192" s="33"/>
      <c r="L192" s="34"/>
    </row>
    <row r="193" spans="2:12" x14ac:dyDescent="0.25">
      <c r="B193" s="32" t="s">
        <v>165</v>
      </c>
      <c r="C193" s="33">
        <v>14.02</v>
      </c>
      <c r="D193" s="33">
        <v>13.34</v>
      </c>
      <c r="E193" s="33">
        <v>11.39</v>
      </c>
      <c r="F193" s="34">
        <v>11.5</v>
      </c>
      <c r="G193" s="33"/>
      <c r="H193" s="33"/>
      <c r="I193" s="33"/>
      <c r="J193" s="33"/>
      <c r="K193" s="33"/>
      <c r="L193" s="34"/>
    </row>
    <row r="194" spans="2:12" x14ac:dyDescent="0.25">
      <c r="B194" s="32" t="s">
        <v>166</v>
      </c>
      <c r="C194" s="33">
        <v>13.53</v>
      </c>
      <c r="D194" s="33">
        <v>11.46</v>
      </c>
      <c r="E194" s="33">
        <v>12.05</v>
      </c>
      <c r="F194" s="34">
        <v>10.69</v>
      </c>
      <c r="G194" s="33"/>
      <c r="H194" s="33"/>
      <c r="I194" s="33"/>
      <c r="J194" s="33"/>
      <c r="K194" s="33"/>
      <c r="L194" s="34"/>
    </row>
    <row r="195" spans="2:12" x14ac:dyDescent="0.25">
      <c r="B195" s="29" t="s">
        <v>167</v>
      </c>
      <c r="C195" s="30" t="s">
        <v>116</v>
      </c>
      <c r="D195" s="30" t="s">
        <v>116</v>
      </c>
      <c r="E195" s="30">
        <v>30.69</v>
      </c>
      <c r="F195" s="31">
        <v>30.82</v>
      </c>
      <c r="G195" s="30"/>
      <c r="H195" s="30"/>
      <c r="I195" s="30"/>
      <c r="J195" s="30"/>
      <c r="K195" s="30"/>
      <c r="L195" s="31"/>
    </row>
    <row r="196" spans="2:12" x14ac:dyDescent="0.25">
      <c r="B196" s="32" t="s">
        <v>168</v>
      </c>
      <c r="C196" s="33" t="s">
        <v>116</v>
      </c>
      <c r="D196" s="33" t="s">
        <v>116</v>
      </c>
      <c r="E196" s="33">
        <v>23.12</v>
      </c>
      <c r="F196" s="34">
        <v>22.68</v>
      </c>
      <c r="G196" s="33"/>
      <c r="H196" s="33"/>
      <c r="I196" s="33"/>
      <c r="J196" s="33"/>
      <c r="K196" s="33"/>
      <c r="L196" s="34"/>
    </row>
    <row r="197" spans="2:12" ht="15.75" thickBot="1" x14ac:dyDescent="0.3">
      <c r="B197" s="35" t="s">
        <v>169</v>
      </c>
      <c r="C197" s="36" t="s">
        <v>116</v>
      </c>
      <c r="D197" s="36" t="s">
        <v>116</v>
      </c>
      <c r="E197" s="36">
        <v>37.049999999999997</v>
      </c>
      <c r="F197" s="37">
        <v>37.21</v>
      </c>
      <c r="G197" s="36"/>
      <c r="H197" s="36"/>
      <c r="I197" s="36"/>
      <c r="J197" s="36"/>
      <c r="K197" s="36"/>
      <c r="L197" s="37"/>
    </row>
    <row r="198" spans="2:12" x14ac:dyDescent="0.25">
      <c r="B198" s="38" t="s">
        <v>170</v>
      </c>
      <c r="C198" s="39">
        <v>16.22</v>
      </c>
      <c r="D198" s="39">
        <v>12.81</v>
      </c>
      <c r="E198" s="39">
        <v>14.26</v>
      </c>
      <c r="F198" s="39">
        <v>13.13</v>
      </c>
      <c r="G198" s="39"/>
      <c r="H198" s="39"/>
      <c r="I198" s="39"/>
      <c r="J198" s="39"/>
      <c r="K198" s="39"/>
      <c r="L198" s="39"/>
    </row>
  </sheetData>
  <mergeCells count="8">
    <mergeCell ref="I135:J135"/>
    <mergeCell ref="K135:L135"/>
    <mergeCell ref="B133:L134"/>
    <mergeCell ref="F29:F31"/>
    <mergeCell ref="G29:G31"/>
    <mergeCell ref="C135:D135"/>
    <mergeCell ref="E135:F135"/>
    <mergeCell ref="G135:H135"/>
  </mergeCells>
  <hyperlinks>
    <hyperlink ref="F32" r:id="rId1" xr:uid="{57FE6DA4-E31C-41ED-8FB4-29F4CB48D5A4}"/>
    <hyperlink ref="F33" r:id="rId2" xr:uid="{506E3472-56E8-4F09-8531-0CF34A785F84}"/>
    <hyperlink ref="G29" r:id="rId3" xr:uid="{48A63864-6B49-4670-8495-43DD53A158D2}"/>
    <hyperlink ref="G28" r:id="rId4" xr:uid="{841770D8-089A-4D9D-A2C6-729A985F561C}"/>
    <hyperlink ref="E54" r:id="rId5" xr:uid="{F5493BE7-FE9B-4E08-809A-032E93461176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9B458B-6CC1-4D2A-9626-E340554E67FB}">
  <ds:schemaRefs>
    <ds:schemaRef ds:uri="http://schemas.microsoft.com/office/2006/metadata/properties"/>
    <ds:schemaRef ds:uri="http://schemas.microsoft.com/office/infopath/2007/PartnerControls"/>
    <ds:schemaRef ds:uri="b031f331-093e-4af9-b9a8-5fb9941cd8bc"/>
    <ds:schemaRef ds:uri="80727368-2d85-4693-8aca-8c33fb2339f5"/>
    <ds:schemaRef ds:uri="http://schemas.microsoft.com/sharepoint/v4"/>
    <ds:schemaRef ds:uri="61ea441e-408f-4c04-8adb-e628fdc370c0"/>
  </ds:schemaRefs>
</ds:datastoreItem>
</file>

<file path=customXml/itemProps2.xml><?xml version="1.0" encoding="utf-8"?>
<ds:datastoreItem xmlns:ds="http://schemas.openxmlformats.org/officeDocument/2006/customXml" ds:itemID="{AC6D7AEE-612F-4FCB-8052-FA2419B0C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637B5F-0B62-4BC9-8D56-A3FFCF2E4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727368-2d85-4693-8aca-8c33fb2339f5"/>
    <ds:schemaRef ds:uri="http://schemas.microsoft.com/sharepoint/v4"/>
    <ds:schemaRef ds:uri="b031f331-093e-4af9-b9a8-5fb9941cd8bc"/>
    <ds:schemaRef ds:uri="61ea441e-408f-4c04-8adb-e628fdc37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Towsif Khan</dc:creator>
  <cp:lastModifiedBy>Sami Towsif Khan</cp:lastModifiedBy>
  <dcterms:created xsi:type="dcterms:W3CDTF">2026-05-12T20:41:16Z</dcterms:created>
  <dcterms:modified xsi:type="dcterms:W3CDTF">2026-05-12T21:07:29Z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0x01010084099C5946FA6344AFBC08FDA28BB5E3000F2A5536EED47B428001DEFDF00DB8CF</vt:lpwstr>
  </property>
</Properties>
</file>