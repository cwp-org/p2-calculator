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70" documentId="8_{B327BA92-1FA9-4872-8EDB-D07F6C339AD1}" xr6:coauthVersionLast="47" xr6:coauthVersionMax="47" xr10:uidLastSave="{0F8BF781-844C-4C18-92AE-A269506CA2BE}"/>
  <bookViews>
    <workbookView xWindow="28680" yWindow="1695" windowWidth="29040" windowHeight="15720" activeTab="1" xr2:uid="{4B0E6B54-E016-4C36-AB3B-9C5ED148B7D2}"/>
  </bookViews>
  <sheets>
    <sheet name="Overview" sheetId="2" r:id="rId1"/>
    <sheet name="Tables" sheetId="1" r:id="rId2"/>
  </sheets>
  <externalReferences>
    <externalReference r:id="rId3"/>
  </externalReferences>
  <definedNames>
    <definedName name="Status">'[1]Online Calculator Edit Tracking'!$H$2:$H$4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5" i="1" l="1"/>
  <c r="C53" i="1"/>
  <c r="E23" i="1"/>
  <c r="E22" i="1"/>
  <c r="E21" i="1"/>
  <c r="E20" i="1"/>
  <c r="E19" i="1"/>
  <c r="E18" i="1"/>
  <c r="E17" i="1"/>
  <c r="E16" i="1"/>
</calcChain>
</file>

<file path=xl/sharedStrings.xml><?xml version="1.0" encoding="utf-8"?>
<sst xmlns="http://schemas.openxmlformats.org/spreadsheetml/2006/main" count="184" uniqueCount="99">
  <si>
    <t>Vehicle Data</t>
  </si>
  <si>
    <t>Type</t>
  </si>
  <si>
    <t>Fuel Unit</t>
  </si>
  <si>
    <t>Fuel Efficiency (miles/unit)</t>
  </si>
  <si>
    <t>Notes</t>
  </si>
  <si>
    <t>Motorcycle</t>
  </si>
  <si>
    <t>Gasoline</t>
  </si>
  <si>
    <t>Gallon</t>
  </si>
  <si>
    <t>Source: "Average Fuel Economy by Major Vehicle Cateogory"  US Department of Energy</t>
  </si>
  <si>
    <t>Car</t>
  </si>
  <si>
    <t>https://afdc.energy.gov/data/10310</t>
  </si>
  <si>
    <t>Light Truck/ Pickup</t>
  </si>
  <si>
    <t>Transit Van</t>
  </si>
  <si>
    <t>Diesel</t>
  </si>
  <si>
    <t>School Bus</t>
  </si>
  <si>
    <t>Class 8 Truck</t>
  </si>
  <si>
    <t>Transit Bus</t>
  </si>
  <si>
    <t>Refuse Truck</t>
  </si>
  <si>
    <t xml:space="preserve">Hybrid Vehicle Efficiency.  Assumes an average fuel increase of 35% for hybrids.  </t>
  </si>
  <si>
    <t>Light Truck/Pickup</t>
  </si>
  <si>
    <t>Transit Vanpool</t>
  </si>
  <si>
    <t>Electric Vehicle Efficiency</t>
  </si>
  <si>
    <t>Hybrid Vehicle Efficiency</t>
  </si>
  <si>
    <t>Electricity</t>
  </si>
  <si>
    <t>KWh</t>
  </si>
  <si>
    <t>Low end efficiency reported by Zero Motorcycles</t>
  </si>
  <si>
    <t>https://zeromotorcycles.com/model/zero-shttps://zeromotorcycles.com/model-comparison</t>
  </si>
  <si>
    <t>Car Light Truck/Pickup and Transit Vanpool adapted from Figure 4.20 of the US EPA 2025 fuel Trends Report).  Based on Inertia Weight.  (4,500 for cars, 7,200 for Light Truck/Pickup, 5,000 for Transit Vanpool)</t>
  </si>
  <si>
    <t>https://www.epa.gov/system/files/documents/2026-02/420s26001.pdf</t>
  </si>
  <si>
    <t>https://www.epa.gov/greenvehicles/what-if-electric-school-buses-could-be-used-supply-power-when-duty</t>
  </si>
  <si>
    <t>https://docs.nrel.gov/docs/fy25osti/91369.pdf</t>
  </si>
  <si>
    <t>Assumes same efficiency as a school bus</t>
  </si>
  <si>
    <t>N/A</t>
  </si>
  <si>
    <t>New Jersey</t>
  </si>
  <si>
    <t>$/gallon</t>
  </si>
  <si>
    <t>Biodiesel</t>
  </si>
  <si>
    <t>Petroleum Hydrocarbon Density</t>
  </si>
  <si>
    <t>Biodiesel (Assume 90/10 Split)</t>
  </si>
  <si>
    <t>Inflation Factor to Account for Motor Oil Spills</t>
  </si>
  <si>
    <t>Based on the raio of petroleum release in the Puget Sound from each of these sources (6,100 vs 1,900)</t>
  </si>
  <si>
    <t>https://apps.ecology.wa.gov/publications/documents/1103055.pdf</t>
  </si>
  <si>
    <t xml:space="preserve">EMISSIONS FACTOR </t>
  </si>
  <si>
    <t>Unit</t>
  </si>
  <si>
    <t>CO2e emission rate (kg/gal)</t>
  </si>
  <si>
    <t>Table:- Electricty Data (Source:- https://www.epa.gov/egrid/detailed-data)</t>
  </si>
  <si>
    <t>Data Year</t>
  </si>
  <si>
    <t>YEAR</t>
  </si>
  <si>
    <t>February 2026 YTD</t>
  </si>
  <si>
    <t>Directions for Claude</t>
  </si>
  <si>
    <t>Table Looks like</t>
  </si>
  <si>
    <t>Ask the user to enter the following data about vehicles they intend to replace.</t>
  </si>
  <si>
    <t>Vehicle Category</t>
  </si>
  <si>
    <t>Fuel Type</t>
  </si>
  <si>
    <t>Number Being Replaced</t>
  </si>
  <si>
    <t>Replacement Type</t>
  </si>
  <si>
    <t>Trucks</t>
  </si>
  <si>
    <t>(EV or LNG)</t>
  </si>
  <si>
    <t>Number being purchased</t>
  </si>
  <si>
    <t>Typical number of miles driven per year.</t>
  </si>
  <si>
    <t>Green Option (Choose from Hybrid or EV)</t>
  </si>
  <si>
    <t>Calculate the following Benefits</t>
  </si>
  <si>
    <t>Fuel Use</t>
  </si>
  <si>
    <t>User can override instead of entering vehicle data</t>
  </si>
  <si>
    <t>Gasoline Change (gal/year)</t>
  </si>
  <si>
    <t>Add up total of Miles Driven/Fuel Efficiency for each gasoline vehicle.</t>
  </si>
  <si>
    <t>Subtrack Miles Driven/Fuel Efficiency for hybrid vehicles (if used)</t>
  </si>
  <si>
    <t>Diesel Change (gal/year)</t>
  </si>
  <si>
    <t>Add up total of Miles Driven/Fuel Efficiency for each diesel vehicle.</t>
  </si>
  <si>
    <t>Electricity Change (kwH/year)</t>
  </si>
  <si>
    <t>Add up total Miles Driven/Efficiency for each Electric Vehicle replacement</t>
  </si>
  <si>
    <t>Biodiesel Change (gal/year)</t>
  </si>
  <si>
    <t>Not Calculated.  User needs to enter if biodiesel substitution is a practice.</t>
  </si>
  <si>
    <t>Total Hydrocarbons in Runoff</t>
  </si>
  <si>
    <t>-Gasoline ChangeXGasoline Density-Diesel ChangeXDiesel Density-Biodiesel ChangeXBiodiesel Density</t>
  </si>
  <si>
    <t>Mulitiply by Inflation Factor for oil spills</t>
  </si>
  <si>
    <t>Greenhouse Gas Reduction</t>
  </si>
  <si>
    <t>-Gasoline Change X Gasoline CO2e-Diesel ChangeXDiesel CO2e-Electricity Change Xelectricity CO2e-Biodiesel Change Xbiodiesel CO2e</t>
  </si>
  <si>
    <t>-</t>
  </si>
  <si>
    <t>Cost Savings</t>
  </si>
  <si>
    <t>-Gasoline ChangeX Gasoline Unit Cost-Diesel ChangeX Diesel Unit Cost-Electricity ChangeXElectricity Unit Cost-Biodiesel ChangeXBiodiesel Unit Cost</t>
  </si>
  <si>
    <t>x</t>
  </si>
  <si>
    <t>U.S.</t>
  </si>
  <si>
    <t>Source</t>
  </si>
  <si>
    <t>https://www.epa.gov/system/files/other-files/2022-11/P2_GHG_Calculator_29November2022.xlsm</t>
  </si>
  <si>
    <t>EPA Pollution Prevention Tools and Calculators</t>
  </si>
  <si>
    <t>Fuel Costs (From EPA P2 Calculator defaults)</t>
  </si>
  <si>
    <t>Vehicle Type (from pull-down list) (Type of Vehicle fro Vehicle Data) and Custom (For custom User Need to Input All Vehicle Informations)</t>
  </si>
  <si>
    <t>Region</t>
  </si>
  <si>
    <t>NYC/Westchester, NY</t>
  </si>
  <si>
    <t>Long Island, NY</t>
  </si>
  <si>
    <t>Upstate New York</t>
  </si>
  <si>
    <t>Puerto Rico and Virgin Islands</t>
  </si>
  <si>
    <t>Spillage Factor</t>
  </si>
  <si>
    <t>Mulitiply by Spillage Factor</t>
  </si>
  <si>
    <t>Region where the vehcle is being used (from a pull-down list) (Regions are listed in the Electricty Tables)</t>
  </si>
  <si>
    <t>Table:- Average Price of Electricity to Ultimate Customers by End-Use Sector,by Regions, Year-to-Date through February 2026 and 2025 (Cents per Kilowatthour)  (Source:- https://www.eia.gov/electricity/monthly/ [Data from Feb 2026]</t>
  </si>
  <si>
    <t>User Input</t>
  </si>
  <si>
    <t>Region annual CO2 equivalent non-baseload output emission rate (lb/MWh)</t>
  </si>
  <si>
    <t>SRNBC2E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</si>
</sst>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)"/>
    <numFmt numFmtId="165" formatCode="#,##0.0"/>
    <numFmt numFmtId="166" formatCode="0.0"/>
    <numFmt numFmtId="167" formatCode="0.00_)"/>
    <numFmt numFmtId="168" formatCode="0.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1B1B"/>
      <name val="Arial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Arial"/>
      <family val="2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1111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9" fillId="0" borderId="0"/>
  </cellStyleXfs>
  <cellXfs count="69">
    <xf numFmtId="0" fontId="0" fillId="0" borderId="0" xfId="0"/>
    <xf numFmtId="0" fontId="2" fillId="0" borderId="0" xfId="0" applyFont="1"/>
    <xf numFmtId="0" fontId="5" fillId="0" borderId="1" xfId="2" applyFont="1" applyBorder="1"/>
    <xf numFmtId="164" fontId="5" fillId="0" borderId="2" xfId="3" applyNumberFormat="1" applyFont="1" applyBorder="1" applyAlignment="1">
      <alignment horizontal="center"/>
    </xf>
    <xf numFmtId="0" fontId="3" fillId="0" borderId="0" xfId="1"/>
    <xf numFmtId="165" fontId="5" fillId="0" borderId="2" xfId="2" applyNumberFormat="1" applyFont="1" applyBorder="1" applyAlignment="1">
      <alignment horizontal="center"/>
    </xf>
    <xf numFmtId="166" fontId="5" fillId="0" borderId="2" xfId="2" applyNumberFormat="1" applyFont="1" applyBorder="1" applyAlignment="1">
      <alignment horizontal="center"/>
    </xf>
    <xf numFmtId="166" fontId="5" fillId="0" borderId="2" xfId="3" applyNumberFormat="1" applyFont="1" applyBorder="1" applyAlignment="1">
      <alignment horizontal="center"/>
    </xf>
    <xf numFmtId="0" fontId="5" fillId="0" borderId="3" xfId="2" applyFont="1" applyBorder="1"/>
    <xf numFmtId="166" fontId="5" fillId="0" borderId="4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2" applyFont="1"/>
    <xf numFmtId="164" fontId="5" fillId="0" borderId="2" xfId="2" applyNumberFormat="1" applyFont="1" applyBorder="1" applyAlignment="1">
      <alignment horizontal="center"/>
    </xf>
    <xf numFmtId="167" fontId="5" fillId="0" borderId="2" xfId="2" applyNumberFormat="1" applyFont="1" applyBorder="1" applyAlignment="1">
      <alignment horizontal="center"/>
    </xf>
    <xf numFmtId="168" fontId="0" fillId="0" borderId="0" xfId="0" applyNumberFormat="1"/>
    <xf numFmtId="0" fontId="8" fillId="0" borderId="0" xfId="0" applyFont="1"/>
    <xf numFmtId="10" fontId="0" fillId="0" borderId="0" xfId="0" applyNumberFormat="1"/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2" fillId="5" borderId="1" xfId="0" applyFont="1" applyFill="1" applyBorder="1" applyAlignment="1">
      <alignment horizontal="center" wrapText="1"/>
    </xf>
    <xf numFmtId="2" fontId="12" fillId="5" borderId="14" xfId="0" applyNumberFormat="1" applyFont="1" applyFill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2" fontId="13" fillId="0" borderId="14" xfId="0" applyNumberFormat="1" applyFont="1" applyBorder="1" applyAlignment="1">
      <alignment horizontal="right" wrapText="1"/>
    </xf>
    <xf numFmtId="0" fontId="14" fillId="0" borderId="0" xfId="0" applyFont="1"/>
    <xf numFmtId="0" fontId="0" fillId="6" borderId="0" xfId="0" applyFill="1"/>
    <xf numFmtId="0" fontId="0" fillId="0" borderId="0" xfId="0" applyAlignment="1">
      <alignment horizont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7" fillId="2" borderId="16" xfId="0" applyFont="1" applyFill="1" applyBorder="1" applyAlignment="1">
      <alignment horizontal="left" vertical="center" wrapText="1" indent="1"/>
    </xf>
    <xf numFmtId="0" fontId="10" fillId="3" borderId="0" xfId="0" applyFont="1" applyFill="1" applyAlignment="1">
      <alignment vertical="top" wrapText="1"/>
    </xf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5" xfId="0" applyBorder="1" applyAlignment="1">
      <alignment horizontal="left" vertical="center" wrapText="1"/>
    </xf>
    <xf numFmtId="0" fontId="3" fillId="0" borderId="0" xfId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0" fillId="3" borderId="0" xfId="4" applyFont="1" applyFill="1" applyBorder="1" applyAlignment="1">
      <alignment vertical="top" wrapText="1"/>
    </xf>
    <xf numFmtId="0" fontId="10" fillId="3" borderId="12" xfId="4" applyFont="1" applyFill="1" applyBorder="1" applyAlignment="1">
      <alignment vertical="top" wrapText="1"/>
    </xf>
    <xf numFmtId="0" fontId="0" fillId="0" borderId="0" xfId="0" applyBorder="1"/>
    <xf numFmtId="0" fontId="11" fillId="4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0" fillId="0" borderId="0" xfId="0" applyFill="1" applyBorder="1"/>
    <xf numFmtId="2" fontId="12" fillId="0" borderId="0" xfId="0" applyNumberFormat="1" applyFont="1" applyFill="1" applyBorder="1" applyAlignment="1">
      <alignment horizontal="right" wrapText="1"/>
    </xf>
    <xf numFmtId="2" fontId="13" fillId="0" borderId="0" xfId="0" applyNumberFormat="1" applyFont="1" applyFill="1" applyBorder="1" applyAlignment="1">
      <alignment horizontal="right" wrapText="1"/>
    </xf>
    <xf numFmtId="4" fontId="13" fillId="0" borderId="0" xfId="0" applyNumberFormat="1" applyFont="1" applyFill="1" applyBorder="1" applyAlignment="1">
      <alignment horizontal="right" wrapText="1"/>
    </xf>
    <xf numFmtId="0" fontId="0" fillId="0" borderId="0" xfId="0" applyFill="1"/>
    <xf numFmtId="0" fontId="11" fillId="4" borderId="6" xfId="0" applyFont="1" applyFill="1" applyBorder="1" applyAlignment="1">
      <alignment horizontal="center" wrapText="1"/>
    </xf>
    <xf numFmtId="0" fontId="11" fillId="4" borderId="8" xfId="0" applyFont="1" applyFill="1" applyBorder="1" applyAlignment="1">
      <alignment horizontal="center" wrapText="1"/>
    </xf>
    <xf numFmtId="0" fontId="11" fillId="4" borderId="17" xfId="0" applyFont="1" applyFill="1" applyBorder="1" applyAlignment="1">
      <alignment horizontal="center" wrapText="1"/>
    </xf>
    <xf numFmtId="0" fontId="11" fillId="4" borderId="18" xfId="0" applyFont="1" applyFill="1" applyBorder="1" applyAlignment="1">
      <alignment horizontal="center" wrapText="1"/>
    </xf>
    <xf numFmtId="0" fontId="0" fillId="0" borderId="3" xfId="0" applyBorder="1"/>
    <xf numFmtId="4" fontId="13" fillId="0" borderId="15" xfId="0" applyNumberFormat="1" applyFont="1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</cellXfs>
  <cellStyles count="5">
    <cellStyle name="Hyperlink" xfId="1" builtinId="8"/>
    <cellStyle name="Normal" xfId="0" builtinId="0"/>
    <cellStyle name="Normal 10" xfId="2" xr:uid="{F6CFF0C9-66E6-46BC-877F-560708B7E704}"/>
    <cellStyle name="Normal 2" xfId="4" xr:uid="{8C9A57EC-3C77-42D1-8CBF-96428D5A87FE}"/>
    <cellStyle name="Normal 7" xfId="3" xr:uid="{682CF436-77A6-4AFB-BCFF-DB651ED6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isting%20Calculator%20Summary.xlsx" TargetMode="External"/><Relationship Id="rId2" Type="http://schemas.openxmlformats.org/officeDocument/2006/relationships/externalLinkPath" Target="https://cwp.sharepoint.com/projects/Documents/T-22-011/Task%202.%20Toolkit%20and%20Training%20Content/Calculators%20to%20Evaluate%20Progress/Existing%20Calculator%20Summary.xlsx" TargetMode="External"/><Relationship Id="rId1" Type="http://schemas.openxmlformats.org/officeDocument/2006/relationships/externalLinkPath" Target="/projects/Documents/T-22-011/Task%202.%20Toolkit%20and%20Training%20Content/Calculators%20to%20Evaluate%20Progress/Existing%20Calculator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ing Calculators"/>
      <sheetName val="Plastics Ramblings"/>
      <sheetName val="Winter Road Salt"/>
      <sheetName val="Landscaping GHG Reduct. Calcs."/>
      <sheetName val="Landscaping Water Reduct. Calcs"/>
      <sheetName val="Landscaping COMBINED"/>
      <sheetName val="Landscaping Nutrient Reductions"/>
      <sheetName val="Green Fleet (By Whole Fleet)"/>
      <sheetName val="Green Fleet (By Vehicle)"/>
      <sheetName val="Resources for Calculations"/>
      <sheetName val="Green Fleet - Constants"/>
      <sheetName val="Green Fleet Overview.  DSC"/>
      <sheetName val="Green Fleet Calculations-DSC"/>
      <sheetName val="Online Calculator Edit Tracking"/>
      <sheetName val="Landscaping_Equip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H2" t="str">
            <v>Not Started</v>
          </cell>
        </row>
        <row r="3">
          <cell r="H3" t="str">
            <v>In Progress</v>
          </cell>
        </row>
        <row r="4">
          <cell r="H4" t="str">
            <v>Complete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system/files/documents/2026-02/420s26001.pdf" TargetMode="External"/><Relationship Id="rId2" Type="http://schemas.openxmlformats.org/officeDocument/2006/relationships/hyperlink" Target="https://docs.nrel.gov/docs/fy25osti/91369.pdf" TargetMode="External"/><Relationship Id="rId1" Type="http://schemas.openxmlformats.org/officeDocument/2006/relationships/hyperlink" Target="https://www.epa.gov/greenvehicles/what-if-electric-school-buses-could-be-used-supply-power-when-dut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ps.ecology.wa.gov/publications/documents/1103055.pdf" TargetMode="External"/><Relationship Id="rId4" Type="http://schemas.openxmlformats.org/officeDocument/2006/relationships/hyperlink" Target="https://zeromotorcycles.com/model/zero-shttps:/zeromotorcycles.com/model-compar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BFBF-AE23-4D45-B98F-4AB2364E37D0}">
  <dimension ref="A3:Q68"/>
  <sheetViews>
    <sheetView topLeftCell="A12" zoomScaleNormal="100" workbookViewId="0">
      <selection activeCell="D19" sqref="D19"/>
    </sheetView>
  </sheetViews>
  <sheetFormatPr defaultRowHeight="15" x14ac:dyDescent="0.25"/>
  <cols>
    <col min="2" max="2" width="26.140625" customWidth="1"/>
    <col min="3" max="3" width="71.5703125" customWidth="1"/>
    <col min="4" max="4" width="61.5703125" customWidth="1"/>
    <col min="5" max="5" width="20.5703125" customWidth="1"/>
    <col min="6" max="6" width="22.7109375" customWidth="1"/>
    <col min="7" max="7" width="25" customWidth="1"/>
    <col min="8" max="8" width="33.85546875" customWidth="1"/>
    <col min="9" max="9" width="26.140625" customWidth="1"/>
    <col min="10" max="10" width="21.5703125" customWidth="1"/>
    <col min="11" max="11" width="4.85546875" customWidth="1"/>
    <col min="12" max="12" width="13.85546875" customWidth="1"/>
    <col min="15" max="15" width="11.7109375" customWidth="1"/>
    <col min="16" max="16" width="13.85546875" customWidth="1"/>
    <col min="17" max="17" width="20.42578125" customWidth="1"/>
  </cols>
  <sheetData>
    <row r="3" spans="3:17" x14ac:dyDescent="0.25">
      <c r="C3" s="27" t="s">
        <v>48</v>
      </c>
    </row>
    <row r="4" spans="3:17" x14ac:dyDescent="0.25">
      <c r="N4" t="s">
        <v>49</v>
      </c>
    </row>
    <row r="5" spans="3:17" ht="30" x14ac:dyDescent="0.25">
      <c r="C5" s="15" t="s">
        <v>50</v>
      </c>
      <c r="D5" s="28"/>
      <c r="N5" s="29" t="s">
        <v>51</v>
      </c>
      <c r="O5" t="s">
        <v>52</v>
      </c>
      <c r="P5" s="17" t="s">
        <v>53</v>
      </c>
      <c r="Q5" t="s">
        <v>54</v>
      </c>
    </row>
    <row r="6" spans="3:17" x14ac:dyDescent="0.25">
      <c r="C6" t="s">
        <v>86</v>
      </c>
      <c r="N6" t="s">
        <v>55</v>
      </c>
      <c r="Q6" t="s">
        <v>56</v>
      </c>
    </row>
    <row r="7" spans="3:17" x14ac:dyDescent="0.25">
      <c r="C7" t="s">
        <v>57</v>
      </c>
    </row>
    <row r="8" spans="3:17" x14ac:dyDescent="0.25">
      <c r="C8" t="s">
        <v>58</v>
      </c>
    </row>
    <row r="9" spans="3:17" x14ac:dyDescent="0.25">
      <c r="C9" t="s">
        <v>59</v>
      </c>
    </row>
    <row r="10" spans="3:17" x14ac:dyDescent="0.25">
      <c r="C10" t="s">
        <v>94</v>
      </c>
    </row>
    <row r="13" spans="3:17" x14ac:dyDescent="0.25">
      <c r="C13" s="15" t="s">
        <v>60</v>
      </c>
    </row>
    <row r="14" spans="3:17" x14ac:dyDescent="0.25">
      <c r="C14" s="1" t="s">
        <v>61</v>
      </c>
      <c r="E14" t="s">
        <v>62</v>
      </c>
    </row>
    <row r="15" spans="3:17" x14ac:dyDescent="0.25">
      <c r="C15" t="s">
        <v>63</v>
      </c>
      <c r="D15" t="s">
        <v>64</v>
      </c>
      <c r="E15" t="s">
        <v>65</v>
      </c>
    </row>
    <row r="16" spans="3:17" x14ac:dyDescent="0.25">
      <c r="C16" t="s">
        <v>66</v>
      </c>
      <c r="D16" t="s">
        <v>67</v>
      </c>
      <c r="E16" t="s">
        <v>65</v>
      </c>
    </row>
    <row r="17" spans="3:15" x14ac:dyDescent="0.25">
      <c r="C17" t="s">
        <v>68</v>
      </c>
      <c r="D17" t="s">
        <v>69</v>
      </c>
      <c r="E17" t="s">
        <v>65</v>
      </c>
    </row>
    <row r="18" spans="3:15" x14ac:dyDescent="0.25">
      <c r="C18" t="s">
        <v>70</v>
      </c>
      <c r="D18" t="s">
        <v>71</v>
      </c>
    </row>
    <row r="19" spans="3:15" x14ac:dyDescent="0.25">
      <c r="C19" s="15"/>
    </row>
    <row r="20" spans="3:15" x14ac:dyDescent="0.25">
      <c r="C20" s="15"/>
    </row>
    <row r="21" spans="3:15" x14ac:dyDescent="0.25">
      <c r="C21" s="1" t="s">
        <v>72</v>
      </c>
    </row>
    <row r="22" spans="3:15" ht="30" x14ac:dyDescent="0.25">
      <c r="C22" s="30" t="s">
        <v>73</v>
      </c>
      <c r="D22" s="31" t="s">
        <v>74</v>
      </c>
      <c r="E22" s="1" t="s">
        <v>93</v>
      </c>
      <c r="I22" s="32"/>
      <c r="K22" s="33"/>
      <c r="M22" s="33"/>
    </row>
    <row r="23" spans="3:15" x14ac:dyDescent="0.25">
      <c r="C23" s="34"/>
      <c r="D23" s="34"/>
      <c r="E23" s="31"/>
      <c r="F23" s="1"/>
      <c r="K23" s="32"/>
      <c r="M23" s="33"/>
      <c r="O23" s="33"/>
    </row>
    <row r="24" spans="3:15" x14ac:dyDescent="0.25">
      <c r="C24" s="34"/>
      <c r="D24" s="34"/>
      <c r="E24" s="31"/>
      <c r="F24" s="1"/>
      <c r="K24" s="32"/>
      <c r="M24" s="33"/>
      <c r="O24" s="33"/>
    </row>
    <row r="25" spans="3:15" x14ac:dyDescent="0.25">
      <c r="C25" s="34"/>
      <c r="D25" s="34"/>
      <c r="E25" s="31"/>
      <c r="F25" s="1"/>
      <c r="K25" s="32"/>
      <c r="M25" s="33"/>
      <c r="O25" s="33"/>
    </row>
    <row r="27" spans="3:15" x14ac:dyDescent="0.25">
      <c r="C27" s="1" t="s">
        <v>75</v>
      </c>
      <c r="D27" s="30"/>
    </row>
    <row r="28" spans="3:15" ht="30" x14ac:dyDescent="0.25">
      <c r="C28" s="31" t="s">
        <v>76</v>
      </c>
      <c r="D28" s="35" t="s">
        <v>77</v>
      </c>
      <c r="E28" s="31"/>
      <c r="F28" s="17"/>
    </row>
    <row r="29" spans="3:15" x14ac:dyDescent="0.25">
      <c r="D29" s="34"/>
      <c r="E29" s="31"/>
    </row>
    <row r="32" spans="3:15" x14ac:dyDescent="0.25">
      <c r="C32" s="1" t="s">
        <v>78</v>
      </c>
    </row>
    <row r="33" spans="2:3" x14ac:dyDescent="0.25">
      <c r="C33" s="33" t="s">
        <v>79</v>
      </c>
    </row>
    <row r="41" spans="2:3" x14ac:dyDescent="0.25">
      <c r="B41" s="36"/>
    </row>
    <row r="42" spans="2:3" x14ac:dyDescent="0.25">
      <c r="B42" s="36"/>
    </row>
    <row r="43" spans="2:3" x14ac:dyDescent="0.25">
      <c r="B43" s="36"/>
    </row>
    <row r="44" spans="2:3" x14ac:dyDescent="0.25">
      <c r="B44" s="36"/>
    </row>
    <row r="45" spans="2:3" x14ac:dyDescent="0.25">
      <c r="B45" s="36"/>
    </row>
    <row r="46" spans="2:3" x14ac:dyDescent="0.25">
      <c r="B46" s="36"/>
    </row>
    <row r="47" spans="2:3" x14ac:dyDescent="0.25">
      <c r="B47" s="36"/>
    </row>
    <row r="48" spans="2:3" x14ac:dyDescent="0.25">
      <c r="B48" s="36"/>
    </row>
    <row r="49" spans="1:2" x14ac:dyDescent="0.25">
      <c r="B49" s="36"/>
    </row>
    <row r="50" spans="1:2" x14ac:dyDescent="0.25">
      <c r="B50" s="36"/>
    </row>
    <row r="51" spans="1:2" x14ac:dyDescent="0.25">
      <c r="B51" s="36"/>
    </row>
    <row r="52" spans="1:2" x14ac:dyDescent="0.25">
      <c r="B52" s="36"/>
    </row>
    <row r="53" spans="1:2" x14ac:dyDescent="0.25">
      <c r="B53" s="36"/>
    </row>
    <row r="54" spans="1:2" x14ac:dyDescent="0.25">
      <c r="A54" t="s">
        <v>80</v>
      </c>
      <c r="B54" s="36"/>
    </row>
    <row r="55" spans="1:2" x14ac:dyDescent="0.25">
      <c r="A55" t="s">
        <v>80</v>
      </c>
      <c r="B55" s="36"/>
    </row>
    <row r="56" spans="1:2" x14ac:dyDescent="0.25">
      <c r="A56" t="s">
        <v>80</v>
      </c>
      <c r="B56" s="36"/>
    </row>
    <row r="57" spans="1:2" x14ac:dyDescent="0.25">
      <c r="A57" t="s">
        <v>80</v>
      </c>
    </row>
    <row r="67" spans="3:4" ht="15.75" thickBot="1" x14ac:dyDescent="0.3"/>
    <row r="68" spans="3:4" ht="15.75" thickBot="1" x14ac:dyDescent="0.3">
      <c r="C68" s="37" t="s">
        <v>81</v>
      </c>
      <c r="D68" s="14">
        <v>0.77088400000000001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E826-F88C-4EB8-B230-F490D03037BC}">
  <dimension ref="B2:K97"/>
  <sheetViews>
    <sheetView tabSelected="1" zoomScaleNormal="100" workbookViewId="0">
      <selection activeCell="E73" sqref="E73"/>
    </sheetView>
  </sheetViews>
  <sheetFormatPr defaultRowHeight="15" x14ac:dyDescent="0.25"/>
  <cols>
    <col min="1" max="1" width="12.7109375" customWidth="1"/>
    <col min="2" max="2" width="31.42578125" customWidth="1"/>
    <col min="3" max="3" width="19.42578125" customWidth="1"/>
    <col min="4" max="4" width="29.85546875" customWidth="1"/>
    <col min="5" max="5" width="14.7109375" customWidth="1"/>
    <col min="6" max="6" width="27.85546875" customWidth="1"/>
    <col min="7" max="7" width="25" customWidth="1"/>
  </cols>
  <sheetData>
    <row r="2" spans="2:8" x14ac:dyDescent="0.25">
      <c r="B2" s="1" t="s">
        <v>0</v>
      </c>
    </row>
    <row r="3" spans="2:8" x14ac:dyDescent="0.25">
      <c r="C3" t="s">
        <v>1</v>
      </c>
      <c r="D3" t="s">
        <v>2</v>
      </c>
      <c r="E3" t="s">
        <v>3</v>
      </c>
      <c r="G3" s="1" t="s">
        <v>4</v>
      </c>
    </row>
    <row r="4" spans="2:8" x14ac:dyDescent="0.25">
      <c r="B4" s="2" t="s">
        <v>5</v>
      </c>
      <c r="C4" t="s">
        <v>6</v>
      </c>
      <c r="D4" t="s">
        <v>7</v>
      </c>
      <c r="E4" s="3">
        <v>44</v>
      </c>
      <c r="G4" t="s">
        <v>8</v>
      </c>
    </row>
    <row r="5" spans="2:8" x14ac:dyDescent="0.25">
      <c r="B5" s="2" t="s">
        <v>9</v>
      </c>
      <c r="C5" t="s">
        <v>6</v>
      </c>
      <c r="D5" t="s">
        <v>7</v>
      </c>
      <c r="E5" s="3">
        <v>24.4</v>
      </c>
      <c r="G5" s="4" t="s">
        <v>10</v>
      </c>
    </row>
    <row r="6" spans="2:8" x14ac:dyDescent="0.25">
      <c r="B6" s="2" t="s">
        <v>11</v>
      </c>
      <c r="C6" t="s">
        <v>6</v>
      </c>
      <c r="D6" t="s">
        <v>7</v>
      </c>
      <c r="E6" s="3">
        <v>17.8</v>
      </c>
    </row>
    <row r="7" spans="2:8" x14ac:dyDescent="0.25">
      <c r="B7" s="2" t="s">
        <v>12</v>
      </c>
      <c r="C7" t="s">
        <v>13</v>
      </c>
      <c r="D7" t="s">
        <v>7</v>
      </c>
      <c r="E7" s="5">
        <v>12.56</v>
      </c>
    </row>
    <row r="8" spans="2:8" x14ac:dyDescent="0.25">
      <c r="B8" s="2" t="s">
        <v>14</v>
      </c>
      <c r="C8" t="s">
        <v>13</v>
      </c>
      <c r="D8" t="s">
        <v>7</v>
      </c>
      <c r="E8" s="6">
        <v>7.3</v>
      </c>
    </row>
    <row r="9" spans="2:8" x14ac:dyDescent="0.25">
      <c r="B9" s="2" t="s">
        <v>15</v>
      </c>
      <c r="C9" t="s">
        <v>13</v>
      </c>
      <c r="D9" t="s">
        <v>7</v>
      </c>
      <c r="E9" s="7">
        <v>6.4</v>
      </c>
    </row>
    <row r="10" spans="2:8" x14ac:dyDescent="0.25">
      <c r="B10" s="2" t="s">
        <v>16</v>
      </c>
      <c r="C10" t="s">
        <v>13</v>
      </c>
      <c r="D10" t="s">
        <v>7</v>
      </c>
      <c r="E10" s="6">
        <v>3.83</v>
      </c>
    </row>
    <row r="11" spans="2:8" ht="15.75" thickBot="1" x14ac:dyDescent="0.3">
      <c r="B11" s="8" t="s">
        <v>17</v>
      </c>
      <c r="C11" t="s">
        <v>13</v>
      </c>
      <c r="D11" t="s">
        <v>7</v>
      </c>
      <c r="E11" s="9">
        <v>2.8</v>
      </c>
    </row>
    <row r="15" spans="2:8" x14ac:dyDescent="0.25">
      <c r="B15" s="1" t="s">
        <v>18</v>
      </c>
    </row>
    <row r="16" spans="2:8" x14ac:dyDescent="0.25">
      <c r="B16" s="2" t="s">
        <v>5</v>
      </c>
      <c r="C16" t="s">
        <v>6</v>
      </c>
      <c r="D16" t="s">
        <v>7</v>
      </c>
      <c r="E16" s="3">
        <f t="shared" ref="E16:E23" si="0">E4*1.35</f>
        <v>59.400000000000006</v>
      </c>
      <c r="H16" s="10"/>
    </row>
    <row r="17" spans="2:9" x14ac:dyDescent="0.25">
      <c r="B17" s="2" t="s">
        <v>9</v>
      </c>
      <c r="C17" t="s">
        <v>6</v>
      </c>
      <c r="D17" t="s">
        <v>7</v>
      </c>
      <c r="E17" s="3">
        <f t="shared" si="0"/>
        <v>32.94</v>
      </c>
      <c r="H17" s="10"/>
    </row>
    <row r="18" spans="2:9" x14ac:dyDescent="0.25">
      <c r="B18" s="2" t="s">
        <v>19</v>
      </c>
      <c r="C18" t="s">
        <v>6</v>
      </c>
      <c r="D18" t="s">
        <v>7</v>
      </c>
      <c r="E18" s="3">
        <f t="shared" si="0"/>
        <v>24.03</v>
      </c>
      <c r="H18" s="10"/>
    </row>
    <row r="19" spans="2:9" x14ac:dyDescent="0.25">
      <c r="B19" s="2" t="s">
        <v>20</v>
      </c>
      <c r="C19" t="s">
        <v>13</v>
      </c>
      <c r="D19" t="s">
        <v>7</v>
      </c>
      <c r="E19" s="5">
        <f t="shared" si="0"/>
        <v>16.956000000000003</v>
      </c>
      <c r="H19" s="10"/>
    </row>
    <row r="20" spans="2:9" x14ac:dyDescent="0.25">
      <c r="B20" s="2" t="s">
        <v>14</v>
      </c>
      <c r="C20" t="s">
        <v>13</v>
      </c>
      <c r="D20" t="s">
        <v>7</v>
      </c>
      <c r="E20" s="5">
        <f t="shared" si="0"/>
        <v>9.8550000000000004</v>
      </c>
      <c r="H20" s="10"/>
      <c r="I20" s="4"/>
    </row>
    <row r="21" spans="2:9" x14ac:dyDescent="0.25">
      <c r="B21" s="2" t="s">
        <v>15</v>
      </c>
      <c r="C21" t="s">
        <v>13</v>
      </c>
      <c r="D21" t="s">
        <v>7</v>
      </c>
      <c r="E21" s="5">
        <f t="shared" si="0"/>
        <v>8.64</v>
      </c>
      <c r="H21" s="10"/>
      <c r="I21" s="4"/>
    </row>
    <row r="22" spans="2:9" x14ac:dyDescent="0.25">
      <c r="B22" s="2" t="s">
        <v>16</v>
      </c>
      <c r="C22" t="s">
        <v>13</v>
      </c>
      <c r="D22" t="s">
        <v>7</v>
      </c>
      <c r="E22" s="5">
        <f t="shared" si="0"/>
        <v>5.1705000000000005</v>
      </c>
      <c r="H22" s="10"/>
    </row>
    <row r="23" spans="2:9" ht="15.75" thickBot="1" x14ac:dyDescent="0.3">
      <c r="B23" s="8" t="s">
        <v>17</v>
      </c>
      <c r="C23" t="s">
        <v>13</v>
      </c>
      <c r="D23" t="s">
        <v>7</v>
      </c>
      <c r="E23" s="5">
        <f t="shared" si="0"/>
        <v>3.78</v>
      </c>
    </row>
    <row r="26" spans="2:9" x14ac:dyDescent="0.25">
      <c r="B26" s="11" t="s">
        <v>21</v>
      </c>
    </row>
    <row r="27" spans="2:9" x14ac:dyDescent="0.25">
      <c r="B27" s="1" t="s">
        <v>22</v>
      </c>
    </row>
    <row r="28" spans="2:9" x14ac:dyDescent="0.25">
      <c r="B28" s="2" t="s">
        <v>5</v>
      </c>
      <c r="C28" t="s">
        <v>23</v>
      </c>
      <c r="D28" t="s">
        <v>24</v>
      </c>
      <c r="E28" s="3">
        <v>10</v>
      </c>
      <c r="F28" t="s">
        <v>25</v>
      </c>
      <c r="G28" s="4" t="s">
        <v>26</v>
      </c>
    </row>
    <row r="29" spans="2:9" x14ac:dyDescent="0.25">
      <c r="B29" s="2" t="s">
        <v>9</v>
      </c>
      <c r="C29" t="s">
        <v>23</v>
      </c>
      <c r="D29" t="s">
        <v>24</v>
      </c>
      <c r="E29" s="3">
        <v>3.1</v>
      </c>
      <c r="F29" s="46" t="s">
        <v>27</v>
      </c>
      <c r="G29" s="47" t="s">
        <v>28</v>
      </c>
    </row>
    <row r="30" spans="2:9" x14ac:dyDescent="0.25">
      <c r="B30" s="2" t="s">
        <v>19</v>
      </c>
      <c r="C30" t="s">
        <v>23</v>
      </c>
      <c r="D30" t="s">
        <v>24</v>
      </c>
      <c r="E30" s="3">
        <v>2.1</v>
      </c>
      <c r="F30" s="46"/>
      <c r="G30" s="47"/>
    </row>
    <row r="31" spans="2:9" x14ac:dyDescent="0.25">
      <c r="B31" s="2" t="s">
        <v>20</v>
      </c>
      <c r="C31" t="s">
        <v>23</v>
      </c>
      <c r="D31" t="s">
        <v>24</v>
      </c>
      <c r="E31" s="12">
        <v>2.9</v>
      </c>
      <c r="F31" s="46"/>
      <c r="G31" s="47"/>
    </row>
    <row r="32" spans="2:9" x14ac:dyDescent="0.25">
      <c r="B32" s="2" t="s">
        <v>14</v>
      </c>
      <c r="C32" t="s">
        <v>23</v>
      </c>
      <c r="D32" t="s">
        <v>24</v>
      </c>
      <c r="E32" s="12">
        <v>1.5</v>
      </c>
      <c r="F32" s="4" t="s">
        <v>29</v>
      </c>
    </row>
    <row r="33" spans="2:6" x14ac:dyDescent="0.25">
      <c r="B33" s="2" t="s">
        <v>15</v>
      </c>
      <c r="C33" t="s">
        <v>23</v>
      </c>
      <c r="D33" t="s">
        <v>24</v>
      </c>
      <c r="E33" s="12">
        <v>1.8</v>
      </c>
      <c r="F33" s="4" t="s">
        <v>30</v>
      </c>
    </row>
    <row r="34" spans="2:6" x14ac:dyDescent="0.25">
      <c r="B34" s="2" t="s">
        <v>16</v>
      </c>
      <c r="C34" t="s">
        <v>23</v>
      </c>
      <c r="D34" t="s">
        <v>24</v>
      </c>
      <c r="E34" s="12">
        <v>1.5</v>
      </c>
      <c r="F34" t="s">
        <v>31</v>
      </c>
    </row>
    <row r="35" spans="2:6" ht="15.75" thickBot="1" x14ac:dyDescent="0.3">
      <c r="B35" s="8" t="s">
        <v>17</v>
      </c>
      <c r="C35" t="s">
        <v>23</v>
      </c>
      <c r="D35" t="s">
        <v>24</v>
      </c>
      <c r="E35" s="13" t="s">
        <v>32</v>
      </c>
    </row>
    <row r="40" spans="2:6" ht="15.75" thickBot="1" x14ac:dyDescent="0.3"/>
    <row r="41" spans="2:6" x14ac:dyDescent="0.25">
      <c r="B41" s="39" t="s">
        <v>85</v>
      </c>
      <c r="C41" s="40"/>
      <c r="D41" s="41"/>
    </row>
    <row r="42" spans="2:6" x14ac:dyDescent="0.25">
      <c r="B42" s="42" t="s">
        <v>6</v>
      </c>
      <c r="C42" s="50" t="s">
        <v>96</v>
      </c>
      <c r="D42" s="43" t="s">
        <v>34</v>
      </c>
    </row>
    <row r="43" spans="2:6" x14ac:dyDescent="0.25">
      <c r="B43" s="42" t="s">
        <v>35</v>
      </c>
      <c r="C43" s="50" t="s">
        <v>96</v>
      </c>
      <c r="D43" s="43" t="s">
        <v>34</v>
      </c>
    </row>
    <row r="44" spans="2:6" ht="15.75" thickBot="1" x14ac:dyDescent="0.3">
      <c r="B44" s="44" t="s">
        <v>13</v>
      </c>
      <c r="C44" s="51" t="s">
        <v>96</v>
      </c>
      <c r="D44" s="45" t="s">
        <v>34</v>
      </c>
    </row>
    <row r="45" spans="2:6" x14ac:dyDescent="0.25">
      <c r="B45" s="52"/>
      <c r="C45" s="50"/>
      <c r="D45" s="52"/>
    </row>
    <row r="46" spans="2:6" x14ac:dyDescent="0.25">
      <c r="C46" s="38"/>
    </row>
    <row r="49" spans="2:7" ht="15.75" thickBot="1" x14ac:dyDescent="0.3"/>
    <row r="50" spans="2:7" x14ac:dyDescent="0.25">
      <c r="B50" s="39" t="s">
        <v>36</v>
      </c>
      <c r="C50" s="41"/>
    </row>
    <row r="51" spans="2:7" x14ac:dyDescent="0.25">
      <c r="B51" s="42" t="s">
        <v>6</v>
      </c>
      <c r="C51" s="43">
        <v>6.1</v>
      </c>
    </row>
    <row r="52" spans="2:7" x14ac:dyDescent="0.25">
      <c r="B52" s="42" t="s">
        <v>13</v>
      </c>
      <c r="C52" s="43">
        <v>7.1</v>
      </c>
    </row>
    <row r="53" spans="2:7" ht="15.75" thickBot="1" x14ac:dyDescent="0.3">
      <c r="B53" s="44" t="s">
        <v>37</v>
      </c>
      <c r="C53" s="45">
        <f>0.9*C52</f>
        <v>6.39</v>
      </c>
    </row>
    <row r="55" spans="2:7" x14ac:dyDescent="0.25">
      <c r="B55" s="1" t="s">
        <v>38</v>
      </c>
      <c r="C55">
        <f>6100/1900+1</f>
        <v>4.2105263157894743</v>
      </c>
      <c r="D55" t="s">
        <v>39</v>
      </c>
      <c r="E55" s="4" t="s">
        <v>40</v>
      </c>
    </row>
    <row r="56" spans="2:7" x14ac:dyDescent="0.25">
      <c r="B56" s="1" t="s">
        <v>92</v>
      </c>
      <c r="C56">
        <v>1E-4</v>
      </c>
    </row>
    <row r="57" spans="2:7" x14ac:dyDescent="0.25">
      <c r="D57" s="16"/>
      <c r="E57" s="4"/>
    </row>
    <row r="59" spans="2:7" x14ac:dyDescent="0.25">
      <c r="B59" s="1" t="s">
        <v>41</v>
      </c>
      <c r="D59" t="s">
        <v>42</v>
      </c>
      <c r="E59" t="s">
        <v>82</v>
      </c>
    </row>
    <row r="60" spans="2:7" x14ac:dyDescent="0.25">
      <c r="B60" t="s">
        <v>6</v>
      </c>
      <c r="C60">
        <v>8.81</v>
      </c>
      <c r="D60" t="s">
        <v>43</v>
      </c>
      <c r="E60" t="s">
        <v>84</v>
      </c>
      <c r="G60" t="s">
        <v>83</v>
      </c>
    </row>
    <row r="61" spans="2:7" x14ac:dyDescent="0.25">
      <c r="B61" t="s">
        <v>13</v>
      </c>
      <c r="C61">
        <v>10.24</v>
      </c>
      <c r="D61" t="s">
        <v>43</v>
      </c>
      <c r="E61" t="s">
        <v>84</v>
      </c>
      <c r="G61" t="s">
        <v>83</v>
      </c>
    </row>
    <row r="62" spans="2:7" x14ac:dyDescent="0.25">
      <c r="B62" t="s">
        <v>35</v>
      </c>
      <c r="C62">
        <v>9.4600000000000009</v>
      </c>
      <c r="D62" t="s">
        <v>43</v>
      </c>
      <c r="E62" t="s">
        <v>84</v>
      </c>
      <c r="G62" t="s">
        <v>83</v>
      </c>
    </row>
    <row r="71" spans="2:11" ht="15.75" thickBot="1" x14ac:dyDescent="0.3"/>
    <row r="72" spans="2:11" ht="45" customHeight="1" x14ac:dyDescent="0.25">
      <c r="B72" s="66" t="s">
        <v>44</v>
      </c>
      <c r="C72" s="67"/>
      <c r="D72" s="68"/>
      <c r="E72" s="17"/>
      <c r="F72" s="17"/>
      <c r="G72" s="17"/>
      <c r="H72" s="17"/>
      <c r="I72" s="17"/>
      <c r="J72" s="17"/>
      <c r="K72" s="17"/>
    </row>
    <row r="73" spans="2:11" ht="45" x14ac:dyDescent="0.25">
      <c r="B73" s="18" t="s">
        <v>45</v>
      </c>
      <c r="C73" s="48" t="s">
        <v>87</v>
      </c>
      <c r="D73" s="19" t="s">
        <v>97</v>
      </c>
      <c r="E73" s="17"/>
      <c r="F73" s="17"/>
      <c r="G73" s="17"/>
      <c r="H73" s="17"/>
      <c r="I73" s="17"/>
      <c r="J73" s="17"/>
      <c r="K73" s="17"/>
    </row>
    <row r="74" spans="2:11" ht="30" customHeight="1" x14ac:dyDescent="0.25">
      <c r="B74" s="18" t="s">
        <v>46</v>
      </c>
      <c r="C74" s="48"/>
      <c r="D74" s="19" t="s">
        <v>98</v>
      </c>
      <c r="E74" s="17"/>
      <c r="F74" s="17"/>
      <c r="G74" s="17"/>
      <c r="H74" s="17"/>
      <c r="I74" s="17"/>
      <c r="J74" s="17"/>
      <c r="K74" s="17"/>
    </row>
    <row r="75" spans="2:11" ht="30" x14ac:dyDescent="0.25">
      <c r="B75" s="18">
        <v>2023</v>
      </c>
      <c r="C75" s="49" t="s">
        <v>88</v>
      </c>
      <c r="D75" s="19">
        <v>977.96799999999996</v>
      </c>
      <c r="E75" s="17"/>
      <c r="F75" s="17"/>
      <c r="G75" s="17"/>
      <c r="H75" s="17"/>
      <c r="I75" s="17"/>
      <c r="J75" s="17"/>
      <c r="K75" s="17"/>
    </row>
    <row r="76" spans="2:11" x14ac:dyDescent="0.25">
      <c r="B76" s="18">
        <v>2023</v>
      </c>
      <c r="C76" s="49" t="s">
        <v>89</v>
      </c>
      <c r="D76" s="19">
        <v>1319.396</v>
      </c>
      <c r="E76" s="17"/>
      <c r="F76" s="17"/>
      <c r="G76" s="17"/>
      <c r="H76" s="17"/>
      <c r="I76" s="17"/>
      <c r="J76" s="17"/>
      <c r="K76" s="17"/>
    </row>
    <row r="77" spans="2:11" x14ac:dyDescent="0.25">
      <c r="B77" s="18">
        <v>2023</v>
      </c>
      <c r="C77" s="49" t="s">
        <v>90</v>
      </c>
      <c r="D77" s="19">
        <v>911.78599999999994</v>
      </c>
      <c r="E77" s="17"/>
      <c r="F77" s="17"/>
      <c r="G77" s="17"/>
      <c r="H77" s="17"/>
      <c r="I77" s="17"/>
      <c r="J77" s="17"/>
      <c r="K77" s="17"/>
    </row>
    <row r="78" spans="2:11" ht="30" x14ac:dyDescent="0.25">
      <c r="B78" s="18">
        <v>2023</v>
      </c>
      <c r="C78" s="49" t="s">
        <v>91</v>
      </c>
      <c r="D78" s="19">
        <v>1642.029</v>
      </c>
      <c r="E78" s="17"/>
      <c r="F78" s="17"/>
      <c r="G78" s="17"/>
      <c r="H78" s="17"/>
      <c r="I78" s="17"/>
      <c r="J78" s="17"/>
      <c r="K78" s="17"/>
    </row>
    <row r="79" spans="2:11" ht="15.75" thickBot="1" x14ac:dyDescent="0.3">
      <c r="B79" s="20">
        <v>2023</v>
      </c>
      <c r="C79" s="21" t="s">
        <v>33</v>
      </c>
      <c r="D79" s="22">
        <v>1180.4849999999999</v>
      </c>
      <c r="E79" s="17"/>
      <c r="F79" s="17"/>
      <c r="G79" s="17"/>
      <c r="H79" s="17"/>
      <c r="I79" s="17"/>
      <c r="J79" s="17"/>
      <c r="K79" s="17"/>
    </row>
    <row r="80" spans="2:11" x14ac:dyDescent="0.25"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2:11" x14ac:dyDescent="0.25"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5" spans="2:11" ht="15.75" thickBot="1" x14ac:dyDescent="0.3"/>
    <row r="86" spans="2:11" ht="47.25" customHeight="1" x14ac:dyDescent="0.25">
      <c r="B86" s="60" t="s">
        <v>95</v>
      </c>
      <c r="C86" s="61"/>
      <c r="D86" s="53"/>
      <c r="E86" s="53"/>
      <c r="F86" s="53"/>
    </row>
    <row r="87" spans="2:11" ht="65.25" customHeight="1" x14ac:dyDescent="0.25">
      <c r="B87" s="62"/>
      <c r="C87" s="63"/>
      <c r="D87" s="54"/>
      <c r="E87" s="54"/>
      <c r="F87" s="54"/>
      <c r="G87" s="55"/>
    </row>
    <row r="88" spans="2:11" x14ac:dyDescent="0.25">
      <c r="B88" s="23" t="s">
        <v>87</v>
      </c>
      <c r="C88" s="24" t="s">
        <v>47</v>
      </c>
      <c r="D88" s="56"/>
      <c r="E88" s="56"/>
      <c r="F88" s="56"/>
      <c r="G88" s="55"/>
    </row>
    <row r="89" spans="2:11" x14ac:dyDescent="0.25">
      <c r="B89" s="25" t="s">
        <v>33</v>
      </c>
      <c r="C89" s="26">
        <v>13.35</v>
      </c>
      <c r="D89" s="57"/>
      <c r="E89" s="57"/>
      <c r="F89" s="57"/>
      <c r="G89" s="55"/>
    </row>
    <row r="90" spans="2:11" x14ac:dyDescent="0.25">
      <c r="B90" s="25" t="s">
        <v>88</v>
      </c>
      <c r="C90" s="26">
        <v>20.45</v>
      </c>
      <c r="D90" s="57"/>
      <c r="E90" s="57"/>
      <c r="F90" s="57"/>
      <c r="G90" s="55"/>
    </row>
    <row r="91" spans="2:11" x14ac:dyDescent="0.25">
      <c r="B91" s="25" t="s">
        <v>89</v>
      </c>
      <c r="C91" s="26">
        <v>20.45</v>
      </c>
      <c r="D91" s="57"/>
      <c r="E91" s="57"/>
      <c r="F91" s="57"/>
      <c r="G91" s="55"/>
    </row>
    <row r="92" spans="2:11" x14ac:dyDescent="0.25">
      <c r="B92" s="25" t="s">
        <v>90</v>
      </c>
      <c r="C92" s="26">
        <v>20.45</v>
      </c>
      <c r="D92" s="57"/>
      <c r="E92" s="57"/>
      <c r="F92" s="57"/>
      <c r="G92" s="55"/>
    </row>
    <row r="93" spans="2:11" ht="15.75" thickBot="1" x14ac:dyDescent="0.3">
      <c r="B93" s="64" t="s">
        <v>91</v>
      </c>
      <c r="C93" s="65">
        <v>26.27</v>
      </c>
      <c r="D93" s="58"/>
      <c r="E93" s="58"/>
      <c r="F93" s="58"/>
      <c r="G93" s="55"/>
    </row>
    <row r="94" spans="2:11" x14ac:dyDescent="0.25">
      <c r="D94" s="55"/>
      <c r="E94" s="55"/>
      <c r="F94" s="55"/>
      <c r="G94" s="55"/>
    </row>
    <row r="95" spans="2:11" x14ac:dyDescent="0.25">
      <c r="D95" s="55"/>
      <c r="E95" s="55"/>
      <c r="F95" s="55"/>
      <c r="G95" s="55"/>
    </row>
    <row r="96" spans="2:11" x14ac:dyDescent="0.25">
      <c r="D96" s="59"/>
      <c r="E96" s="59"/>
      <c r="F96" s="59"/>
      <c r="G96" s="59"/>
    </row>
    <row r="97" spans="4:7" x14ac:dyDescent="0.25">
      <c r="D97" s="59"/>
      <c r="E97" s="59"/>
      <c r="F97" s="59"/>
      <c r="G97" s="59"/>
    </row>
  </sheetData>
  <mergeCells count="5">
    <mergeCell ref="F29:F31"/>
    <mergeCell ref="G29:G31"/>
    <mergeCell ref="C73:C74"/>
    <mergeCell ref="B86:C87"/>
    <mergeCell ref="B72:D72"/>
  </mergeCells>
  <hyperlinks>
    <hyperlink ref="F32" r:id="rId1" xr:uid="{57FE6DA4-E31C-41ED-8FB4-29F4CB48D5A4}"/>
    <hyperlink ref="F33" r:id="rId2" xr:uid="{506E3472-56E8-4F09-8531-0CF34A785F84}"/>
    <hyperlink ref="G29" r:id="rId3" xr:uid="{48A63864-6B49-4670-8495-43DD53A158D2}"/>
    <hyperlink ref="G28" r:id="rId4" xr:uid="{841770D8-089A-4D9D-A2C6-729A985F561C}"/>
    <hyperlink ref="E55" r:id="rId5" xr:uid="{F5493BE7-FE9B-4E08-809A-032E93461176}"/>
  </hyperlinks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Props1.xml><?xml version="1.0" encoding="utf-8"?>
<ds:datastoreItem xmlns:ds="http://schemas.openxmlformats.org/officeDocument/2006/customXml" ds:itemID="{A7637B5F-0B62-4BC9-8D56-A3FFCF2E4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27368-2d85-4693-8aca-8c33fb2339f5"/>
    <ds:schemaRef ds:uri="http://schemas.microsoft.com/sharepoint/v4"/>
    <ds:schemaRef ds:uri="b031f331-093e-4af9-b9a8-5fb9941cd8bc"/>
    <ds:schemaRef ds:uri="61ea441e-408f-4c04-8adb-e628fdc37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6D7AEE-612F-4FCB-8052-FA2419B0C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9B458B-6CC1-4D2A-9626-E340554E67FB}">
  <ds:schemaRefs>
    <ds:schemaRef ds:uri="http://schemas.microsoft.com/office/2006/metadata/properties"/>
    <ds:schemaRef ds:uri="http://schemas.microsoft.com/office/infopath/2007/PartnerControls"/>
    <ds:schemaRef ds:uri="b031f331-093e-4af9-b9a8-5fb9941cd8bc"/>
    <ds:schemaRef ds:uri="80727368-2d85-4693-8aca-8c33fb2339f5"/>
    <ds:schemaRef ds:uri="http://schemas.microsoft.com/sharepoint/v4"/>
    <ds:schemaRef ds:uri="61ea441e-408f-4c04-8adb-e628fdc370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2026-05-12T20:41:16Z</dcterms:created>
  <dcterms:modified xsi:type="dcterms:W3CDTF">2026-05-13T18:44:47Z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  <property fmtid="{D5CDD505-2E9C-101B-9397-08002B2CF9AE}" pid="3" name="MediaServiceImageTags">
    <vt:lpwstr/>
  </property>
</Properties>
</file>