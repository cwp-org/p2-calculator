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wp.sharepoint.com/projects/Documents/T-22-011/Task 2. Toolkit and Training Content/Calculators to Evaluate Progress/ForGitHub/"/>
    </mc:Choice>
  </mc:AlternateContent>
  <xr:revisionPtr revIDLastSave="1569" documentId="8_{7CD13392-4FB7-4D02-AD90-5141AB8FFCBC}" xr6:coauthVersionLast="47" xr6:coauthVersionMax="47" xr10:uidLastSave="{EBB3AB09-12DE-4726-95BF-9A473DFBA6E8}"/>
  <bookViews>
    <workbookView xWindow="28680" yWindow="1695" windowWidth="29040" windowHeight="15720" tabRatio="588" firstSheet="1" activeTab="4" xr2:uid="{346883B0-69C2-496C-B8A7-B19935B90E1C}"/>
  </bookViews>
  <sheets>
    <sheet name="Existing Calculators" sheetId="1" r:id="rId1"/>
    <sheet name="Plastics Ramblings" sheetId="3" r:id="rId2"/>
    <sheet name="Landscaping GHG Reduct. Calcs." sheetId="4" r:id="rId3"/>
    <sheet name="Landscaping Water Reduct. Calcs" sheetId="5" r:id="rId4"/>
    <sheet name="Landscaping Nutrient Reductions" sheetId="6" r:id="rId5"/>
    <sheet name="Green Fleet (By Whole Fleet)" sheetId="7" r:id="rId6"/>
    <sheet name="Green Fleet (By Vehicle)" sheetId="8" r:id="rId7"/>
    <sheet name="Resources for Calculations" sheetId="2"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7" l="1"/>
  <c r="I22" i="7" s="1"/>
  <c r="M23" i="7"/>
  <c r="L23" i="7"/>
  <c r="J23" i="7"/>
  <c r="I23" i="7"/>
  <c r="L21" i="7"/>
  <c r="B15" i="7"/>
  <c r="B14" i="7"/>
  <c r="E23" i="7"/>
  <c r="E21" i="7"/>
  <c r="J21" i="7" s="1"/>
  <c r="M21" i="7" s="1"/>
  <c r="M64" i="6"/>
  <c r="L64" i="6"/>
  <c r="K64" i="6"/>
  <c r="M59" i="6"/>
  <c r="L59" i="6"/>
  <c r="K59" i="6"/>
  <c r="D49" i="6"/>
  <c r="E49" i="6" s="1"/>
  <c r="F49" i="6" s="1"/>
  <c r="D50" i="6"/>
  <c r="E50" i="6" s="1"/>
  <c r="F50" i="6" s="1"/>
  <c r="D51" i="6"/>
  <c r="E51" i="6" s="1"/>
  <c r="F51" i="6" s="1"/>
  <c r="D48" i="6"/>
  <c r="E48" i="6" s="1"/>
  <c r="F48" i="6" s="1"/>
  <c r="F32" i="6"/>
  <c r="E18" i="6"/>
  <c r="H18" i="6" s="1"/>
  <c r="H23" i="6" s="1"/>
  <c r="D18" i="6"/>
  <c r="G18" i="6" s="1"/>
  <c r="G23" i="6" s="1"/>
  <c r="C18" i="6"/>
  <c r="F18" i="6" s="1"/>
  <c r="F23" i="6" s="1"/>
  <c r="M13" i="5"/>
  <c r="N13" i="5" s="1"/>
  <c r="F26" i="5"/>
  <c r="G8" i="4"/>
  <c r="G7" i="4"/>
  <c r="I7" i="4" s="1"/>
  <c r="M7" i="4" s="1"/>
  <c r="I8" i="4"/>
  <c r="J22" i="7" l="1"/>
  <c r="M22" i="7" s="1"/>
  <c r="I21" i="7"/>
  <c r="L22" i="7"/>
  <c r="J48" i="6"/>
  <c r="I48" i="6"/>
  <c r="H48" i="6"/>
  <c r="H51" i="6"/>
  <c r="J51" i="6"/>
  <c r="M51" i="6" s="1"/>
  <c r="I51" i="6"/>
  <c r="L51" i="6" s="1"/>
  <c r="J50" i="6"/>
  <c r="M50" i="6" s="1"/>
  <c r="I50" i="6"/>
  <c r="L50" i="6" s="1"/>
  <c r="H50" i="6"/>
  <c r="J49" i="6"/>
  <c r="M49" i="6" s="1"/>
  <c r="H49" i="6"/>
  <c r="I49" i="6"/>
  <c r="L49" i="6" s="1"/>
  <c r="G48" i="6"/>
  <c r="K48" i="6"/>
  <c r="M48" i="6"/>
  <c r="M55" i="6" s="1"/>
  <c r="L48" i="6"/>
  <c r="L55" i="6" s="1"/>
  <c r="J18" i="6"/>
  <c r="J23" i="6" s="1"/>
  <c r="I18" i="6"/>
  <c r="I23" i="6" s="1"/>
  <c r="K18" i="6"/>
  <c r="K23" i="6" s="1"/>
  <c r="B18" i="6"/>
  <c r="M8" i="4"/>
  <c r="L8" i="4"/>
  <c r="L7" i="4"/>
  <c r="G49" i="6" l="1"/>
  <c r="K49" i="6"/>
  <c r="G50" i="6"/>
  <c r="K50" i="6"/>
  <c r="G51" i="6"/>
  <c r="K51" i="6"/>
  <c r="K55"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tc={411BA76D-1017-482C-82ED-92234C933698}</author>
    <author>tc={D83C0AA6-73FF-4A23-8B93-617D06A181BB}</author>
    <author>tc={BEC29DC7-4D1A-4DDB-BD0C-1C966FDA7833}</author>
    <author>tc={E27A5A54-4DA9-465F-94A9-CE4A2240601E}</author>
    <author>tc={65D95500-E4C9-4FEA-AB60-6BD2F2C4CDB6}</author>
    <author>tc={B945D871-2D70-404A-928B-37509B7445A8}</author>
    <author>tc={7CBBD8AE-EDFC-4284-BEA2-0B921C6C78DA}</author>
    <author>tc={1E6CA74D-5EB4-43A0-BCBE-AA7F95C665FB}</author>
    <author>tc={120131AC-130C-49D2-A22D-E19FF3491C33}</author>
    <author>tc={84BCFC84-4A8D-4C43-8939-9C14DE94A3B6}</author>
  </authors>
  <commentList>
    <comment ref="H4" authorId="0" shapeId="0" xr:uid="{411BA76D-1017-482C-82ED-92234C933698}">
      <text>
        <t>[Threaded comment]
Your version of Excel allows you to read this threaded comment; however, any edits to it will get removed if the file is opened in a newer version of Excel. Learn more: https://go.microsoft.com/fwlink/?linkid=870924
Comment:
    multiply by individual lifecycle costs and add up to calculate total impacts see column on right for estimates from NIH paper</t>
      </text>
    </comment>
    <comment ref="H9" authorId="1" shapeId="0" xr:uid="{D83C0AA6-73FF-4A23-8B93-617D06A181BB}">
      <text>
        <t>[Threaded comment]
Your version of Excel allows you to read this threaded comment; however, any edits to it will get removed if the file is opened in a newer version of Excel. Learn more: https://go.microsoft.com/fwlink/?linkid=870924
Comment:
    Environment Agency UK
Reply:
    .04 metric tons of CO2 per 1500 bags</t>
      </text>
    </comment>
    <comment ref="J9" authorId="2" shapeId="0" xr:uid="{BEC29DC7-4D1A-4DDB-BD0C-1C966FDA7833}">
      <text>
        <t>[Threaded comment]
Your version of Excel allows you to read this threaded comment; however, any edits to it will get removed if the file is opened in a newer version of Excel. Learn more: https://go.microsoft.com/fwlink/?linkid=870924
Comment:
    Greene 2011</t>
      </text>
    </comment>
    <comment ref="K9" authorId="3" shapeId="0" xr:uid="{E27A5A54-4DA9-465F-94A9-CE4A2240601E}">
      <text>
        <t xml:space="preserve">[Threaded comment]
Your version of Excel allows you to read this threaded comment; however, any edits to it will get removed if the file is opened in a newer version of Excel. Learn more: https://go.microsoft.com/fwlink/?linkid=870924
Comment:
    EPA 2023; Kopits et al. 2025 </t>
      </text>
    </comment>
    <comment ref="H11" authorId="4" shapeId="0" xr:uid="{65D95500-E4C9-4FEA-AB60-6BD2F2C4CDB6}">
      <text>
        <t xml:space="preserve">[Threaded comment]
Your version of Excel allows you to read this threaded comment; however, any edits to it will get removed if the file is opened in a newer version of Excel. Learn more: https://go.microsoft.com/fwlink/?linkid=870924
Comment:
    Processes 2021, 9, 1007 </t>
      </text>
    </comment>
    <comment ref="J11" authorId="5" shapeId="0" xr:uid="{B945D871-2D70-404A-928B-37509B7445A8}">
      <text>
        <t>[Threaded comment]
Your version of Excel allows you to read this threaded comment; however, any edits to it will get removed if the file is opened in a newer version of Excel. Learn more: https://go.microsoft.com/fwlink/?linkid=870924
Comment:
    Based on 28 gallons of water per pound of plastic times .5 grams weight of a PP straw</t>
      </text>
    </comment>
    <comment ref="K11" authorId="6" shapeId="0" xr:uid="{7CBBD8AE-EDFC-4284-BEA2-0B921C6C78DA}">
      <text>
        <t xml:space="preserve">[Threaded comment]
Your version of Excel allows you to read this threaded comment; however, any edits to it will get removed if the file is opened in a newer version of Excel. Learn more: https://go.microsoft.com/fwlink/?linkid=870924
Comment:
    EPA 2023; Kopits et al. 2025 </t>
      </text>
    </comment>
    <comment ref="H13" authorId="7" shapeId="0" xr:uid="{1E6CA74D-5EB4-43A0-BCBE-AA7F95C665FB}">
      <text>
        <t xml:space="preserve">[Threaded comment]
Your version of Excel allows you to read this threaded comment; however, any edits to it will get removed if the file is opened in a newer version of Excel. Learn more: https://go.microsoft.com/fwlink/?linkid=870924
Comment:
    Processes 2021, 9, 1007 </t>
      </text>
    </comment>
    <comment ref="J13" authorId="8" shapeId="0" xr:uid="{120131AC-130C-49D2-A22D-E19FF3491C33}">
      <text>
        <t>[Threaded comment]
Your version of Excel allows you to read this threaded comment; however, any edits to it will get removed if the file is opened in a newer version of Excel. Learn more: https://go.microsoft.com/fwlink/?linkid=870924
Comment:
    20.54 gallons per pd of PP times weight divide by 80-100 pieces per pound of plastic</t>
      </text>
    </comment>
    <comment ref="K13" authorId="9" shapeId="0" xr:uid="{84BCFC84-4A8D-4C43-8939-9C14DE94A3B6}">
      <text>
        <t xml:space="preserve">[Threaded comment]
Your version of Excel allows you to read this threaded comment; however, any edits to it will get removed if the file is opened in a newer version of Excel. Learn more: https://go.microsoft.com/fwlink/?linkid=870924
Comment:
    EPA 2023; Kopits et al. 2025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tc={26348E70-D20F-4283-AC41-5890CAB86C17}</author>
    <author>tc={18A5281B-5298-4690-93DC-5A7339BEB767}</author>
    <author>tc={C8AABE57-E22F-490D-84CD-ABB6EDE455C8}</author>
    <author>tc={9E4816EA-9F76-4D57-AE52-E5EF0E0236AC}</author>
    <author>tc={EFADC8F6-900F-4705-8983-E38253A16F7E}</author>
    <author>tc={2A7B5128-D728-4E3E-B532-732C04A68243}</author>
  </authors>
  <commentList>
    <comment ref="A6" authorId="0" shapeId="0" xr:uid="{26348E70-D20F-4283-AC41-5890CAB86C17}">
      <text>
        <t>[Threaded comment]
Your version of Excel allows you to read this threaded comment; however, any edits to it will get removed if the file is opened in a newer version of Excel. Learn more: https://go.microsoft.com/fwlink/?linkid=870924
Comment:
    Since the calculator is trying to get at the benefits, let’s phrase the columns that way. For example, this one would be the Number of plants grown bare root as opposed to in containers.</t>
      </text>
    </comment>
    <comment ref="G6" authorId="1" shapeId="0" xr:uid="{18A5281B-5298-4690-93DC-5A7339BEB767}">
      <text>
        <t>[Threaded comment]
Your version of Excel allows you to read this threaded comment; however, any edits to it will get removed if the file is opened in a newer version of Excel. Learn more: https://go.microsoft.com/fwlink/?linkid=870924
Comment:
    Suggest just having this as the Amount of Plastic avoided to focus the result as the benefit calculation. Similar comment for the headings to the right that currently include the consumed/avoided wording.</t>
      </text>
    </comment>
    <comment ref="M6" authorId="2" shapeId="0" xr:uid="{C8AABE57-E22F-490D-84CD-ABB6EDE455C8}">
      <text>
        <t>[Threaded comment]
Your version of Excel allows you to read this threaded comment; however, any edits to it will get removed if the file is opened in a newer version of Excel. Learn more: https://go.microsoft.com/fwlink/?linkid=870924
Comment:
    It looks like the CO2 is based on whether you are using a recycled vs not recycled plastic for the container. Just checking if that is what you meant. If so, for the calculator purposes, it might  be good to add an input upfront next to the # containers entry for what % of containers used are recycled. Then set up the formula to calculate the amount of CO2 based on that breakdown of recycled/nonrecycled plastic containers. 
One other thing - this looks like kg CO2, but for EPA purposes they want the metric tons - see the conversion in the plastic ramblings tab.</t>
      </text>
    </comment>
    <comment ref="A15" authorId="3" shapeId="0" xr:uid="{9E4816EA-9F76-4D57-AE52-E5EF0E0236AC}">
      <text>
        <t>[Threaded comment]
Your version of Excel allows you to read this threaded comment; however, any edits to it will get removed if the file is opened in a newer version of Excel. Learn more: https://go.microsoft.com/fwlink/?linkid=870924
Comment:
    For the purposes of the general calculator being developed, we probably don’t need a space to enter the nursery name.</t>
      </text>
    </comment>
    <comment ref="B15" authorId="4" shapeId="0" xr:uid="{EFADC8F6-900F-4705-8983-E38253A16F7E}">
      <text>
        <t>[Threaded comment]
Your version of Excel allows you to read this threaded comment; however, any edits to it will get removed if the file is opened in a newer version of Excel. Learn more: https://go.microsoft.com/fwlink/?linkid=870924
Comment:
    So it’s a little more clear, we are asking for the travel distance saved when using a native plant nursery compared to a conventional nursery. Maybe reword to something like: Round-trip distance between the native plant nursery and the nearest conventional nursery that would otherwise be used</t>
      </text>
    </comment>
    <comment ref="F15" authorId="5" shapeId="0" xr:uid="{2A7B5128-D728-4E3E-B532-732C04A68243}">
      <text>
        <t>[Threaded comment]
Your version of Excel allows you to read this threaded comment; however, any edits to it will get removed if the file is opened in a newer version of Excel. Learn more: https://go.microsoft.com/fwlink/?linkid=870924
Comment:
    Same comment as above about making sure we calculate metric tons CO2. Also suggest labeling this as the Emissions avoided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tc={D174D674-0BC0-40CE-A64D-D6B14CF7EEE2}</author>
    <author>tc={5363B5F8-BE60-483A-BA62-FCA65472F3FF}</author>
    <author>tc={D2634497-92CA-4EA4-8A69-19ABF50AE365}</author>
    <author>tc={2E4C0847-8D6D-4AE0-990B-86ACAC2F8756}</author>
  </authors>
  <commentList>
    <comment ref="A7" authorId="0" shapeId="0" xr:uid="{D174D674-0BC0-40CE-A64D-D6B14CF7EEE2}">
      <text>
        <t xml:space="preserve">[Threaded comment]
Your version of Excel allows you to read this threaded comment; however, any edits to it will get removed if the file is opened in a newer version of Excel. Learn more: https://go.microsoft.com/fwlink/?linkid=870924
Comment:
    Is the spreadsheet something that is easily available that Claude may be able to reference? </t>
      </text>
    </comment>
    <comment ref="A9" authorId="1" shapeId="0" xr:uid="{5363B5F8-BE60-483A-BA62-FCA65472F3FF}">
      <text>
        <t>[Threaded comment]
Your version of Excel allows you to read this threaded comment; however, any edits to it will get removed if the file is opened in a newer version of Excel. Learn more: https://go.microsoft.com/fwlink/?linkid=870924
Comment:
    Ask Sami about how we might be able to integrate the use of outside calculators into our tool. For example, do we just include a link to the other calculator and then ask people to enter the result into our tool? If it’s simple enough that we are only using a handful of calculations from the LEED calculator, we can just include those calculations in our tool and then include a reference to LEED for where the assumptions came from.</t>
      </text>
    </comment>
    <comment ref="B13" authorId="2" shapeId="0" xr:uid="{D2634497-92CA-4EA4-8A69-19ABF50AE365}">
      <text>
        <t>[Threaded comment]
Your version of Excel allows you to read this threaded comment; however, any edits to it will get removed if the file is opened in a newer version of Excel. Learn more: https://go.microsoft.com/fwlink/?linkid=870924
Comment:
    Should this be the same number that is in F26</t>
      </text>
    </comment>
    <comment ref="A22" authorId="3" shapeId="0" xr:uid="{2E4C0847-8D6D-4AE0-990B-86ACAC2F8756}">
      <text>
        <t>[Threaded comment]
Your version of Excel allows you to read this threaded comment; however, any edits to it will get removed if the file is opened in a newer version of Excel. Learn more: https://go.microsoft.com/fwlink/?linkid=870924
Comment:
    I’m wondering if we should include this table to calculate the landscaped area or just have them enter their landscaped area.  Is there a benefit to having the area by plant type? If so, our calculator will either need to include a more comprehensive list of plant types or reference the Classy Plant calculator tool to get the input.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tc={E423C854-BBD9-42BA-B114-D1B785513B1D}</author>
    <author>tc={894A7389-3F9C-4ED9-B034-1F7619320212}</author>
    <author>tc={2C78AD15-3550-4469-AC95-8ACD73B56231}</author>
    <author>tc={1E667189-AF37-4CFA-BC7C-67251246A468}</author>
  </authors>
  <commentList>
    <comment ref="B4" authorId="0" shapeId="0" xr:uid="{E423C854-BBD9-42BA-B114-D1B785513B1D}">
      <text>
        <t>[Threaded comment]
Your version of Excel allows you to read this threaded comment; however, any edits to it will get removed if the file is opened in a newer version of Excel. Learn more: https://go.microsoft.com/fwlink/?linkid=870924
Comment:
    Is this for comparison of fertilizer application to native vs non-native plants? If it’s for native plants, do you have the application rate for non-natives so you can subtract the two to know what the difference is?</t>
      </text>
    </comment>
    <comment ref="A10" authorId="1" shapeId="0" xr:uid="{894A7389-3F9C-4ED9-B034-1F7619320212}">
      <text>
        <t>[Threaded comment]
Your version of Excel allows you to read this threaded comment; however, any edits to it will get removed if the file is opened in a newer version of Excel. Learn more: https://go.microsoft.com/fwlink/?linkid=870924
Comment:
    Section of primary soil type should be one of the inputs for the calculator.</t>
      </text>
    </comment>
    <comment ref="F21" authorId="2" shapeId="0" xr:uid="{2C78AD15-3550-4469-AC95-8ACD73B56231}">
      <text>
        <t>[Threaded comment]
Your version of Excel allows you to read this threaded comment; however, any edits to it will get removed if the file is opened in a newer version of Excel. Learn more: https://go.microsoft.com/fwlink/?linkid=870924
Comment:
    Same as comments on other tabs about rephrasing to amount avoided only so it’s focused on the benefit.</t>
      </text>
    </comment>
    <comment ref="B37" authorId="3" shapeId="0" xr:uid="{1E667189-AF37-4CFA-BC7C-67251246A468}">
      <text>
        <t>[Threaded comment]
Your version of Excel allows you to read this threaded comment; however, any edits to it will get removed if the file is opened in a newer version of Excel. Learn more: https://go.microsoft.com/fwlink/?linkid=870924
Comment:
    Similar comment as above - are these calculations for native plant nurseries and if so do you have a rate for non-native nurseries that can be subtracted to know what the benefit is?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tc={DCD332B5-CF25-4A3E-B2EB-D1CB2B9E592A}</author>
  </authors>
  <commentList>
    <comment ref="B26" authorId="0" shapeId="0" xr:uid="{DCD332B5-CF25-4A3E-B2EB-D1CB2B9E592A}">
      <text>
        <t>[Threaded comment]
Your version of Excel allows you to read this threaded comment; however, any edits to it will get removed if the file is opened in a newer version of Excel. Learn more: https://go.microsoft.com/fwlink/?linkid=870924
Comment:
    @Lisa Fraley-McNeal I thought we could use this calculator to show how progressing with a Green Fleet policy could reduce hydrocarbon pollution, but there are additional variables like fuel efficiency and miles driven that change annually in the reported data, and is making an assumption on fuel economy something that can be done? Kingston does have their data split into vehicle class (light, medium, heavy duty)
Reply:
    Does the data change substantially? Maybe we can figure out an average across however many years they have reported. I’m thinking like the average miles driven per year by the general category of vehicle class?
Reply:
    2026_Municipal_Vehicle_Fleet_Report.pdf  on page 8- we could try to get an average of gasoline use looking at the chart provided. Page 9 also has a chart showing annual records of diesel use.
Reply:
    I still cant really narrow down use by vehicle, but we can do a simple division equation and figure that if 1000 gallons are used per year and they own 10 vehicles, we can just assume 100 gallons per vehicle
Reply:
    I think that’s a good plan and probably the best we’ll be able to come up with based on the data.</t>
      </text>
    </comment>
  </commentList>
</comments>
</file>

<file path=xl/sharedStrings.xml><?xml version="1.0" encoding="utf-8"?>
<sst xmlns="http://schemas.openxmlformats.org/spreadsheetml/2006/main" count="551" uniqueCount="393">
  <si>
    <t>Calculator</t>
  </si>
  <si>
    <t>Source</t>
  </si>
  <si>
    <t>Link/Location</t>
  </si>
  <si>
    <t>Region of Origin</t>
  </si>
  <si>
    <t>P2 Focus</t>
  </si>
  <si>
    <t>Primary Inputs</t>
  </si>
  <si>
    <t>Method to estimate reduction in pounds of hazardous materials used and pollutants released </t>
  </si>
  <si>
    <t>Method to estimate reduction in metric tons of MTCO2e released </t>
  </si>
  <si>
    <t>Method to estimate reduction in gallons of water used </t>
  </si>
  <si>
    <t>Method to estimate dollars saved </t>
  </si>
  <si>
    <t>Applicable Case Study</t>
  </si>
  <si>
    <t>Notes</t>
  </si>
  <si>
    <t>P2 Calculator for Reductions in Hazardous Substances, Pollutants, and Contaminants</t>
  </si>
  <si>
    <t>EPA</t>
  </si>
  <si>
    <t>https://www.epa.gov/system/files/other-files/2022-11/P2%20Calculator%20for%20Reductions%20in%20Haz%20Subs%20and%20Pollutants_29November2022.xlsm</t>
  </si>
  <si>
    <t>Nationwide</t>
  </si>
  <si>
    <t>Conversion of gallons of hazardous materials to lbs, solvent remanufacture hazardous waste avoided</t>
  </si>
  <si>
    <t>gallons/weight hazardous substances
volume/weight remanufactured solvents</t>
  </si>
  <si>
    <t>Hazardous Waste, Solvents</t>
  </si>
  <si>
    <t>Not much useful for the P2/MS4 nexus. We could use some of the calculations like converting gallons of hazardous waste to pounds. We wouldn't use most of what is in this spreadsheet.</t>
  </si>
  <si>
    <t>P2 Greenhouse Gas Calculator</t>
  </si>
  <si>
    <t>https://www.epa.gov/system/files/other-files/2022-11/P2_GHG_Calculator_29November2022.xlsm</t>
  </si>
  <si>
    <t>MTCO2e reductions from reduced fuel consumption, electric vehicles, reduced water use, and solvent reduction</t>
  </si>
  <si>
    <t>gallons gas
electric vehicle miles driven
lbs high GWP chemicals
gallons water
volume/weight solvents</t>
  </si>
  <si>
    <t>X</t>
  </si>
  <si>
    <t>Overly complicated spreadsheet. Calculations/assumptions are provided. We could potentially use this information to createa a more streamlined calculation tool.</t>
  </si>
  <si>
    <t>P2 Cost Calculator</t>
  </si>
  <si>
    <t>https://www.epa.gov/system/files/other-files/2022-11/P2_Cost_Calculator_29November2022.xlsm</t>
  </si>
  <si>
    <t>Cost savings from reduced fuel consumption, water use, hazardous waste</t>
  </si>
  <si>
    <t>vehicle miles
gallons gas
gallons water
 lbs/gallons hazardous waste</t>
  </si>
  <si>
    <t>Need to know enter a unit cost. Some defaults are provided. Spreadsheet is overly complicated for our purposes when it's really just applying a unit cost to the pollutant being reduced to get cost savings.</t>
  </si>
  <si>
    <t>Petroleum Reduction Planning Tool</t>
  </si>
  <si>
    <t xml:space="preserve">U.S. Dept. of Energy </t>
  </si>
  <si>
    <t>https://afdc.energy.gov/prep/</t>
  </si>
  <si>
    <t>Fleet Fuel Reduction</t>
  </si>
  <si>
    <t>#/type of vehicles
miles driven
fuel type</t>
  </si>
  <si>
    <t>Fuel</t>
  </si>
  <si>
    <t>Easy to use online calculator.</t>
  </si>
  <si>
    <t xml:space="preserve">Alternative Fuel Life-Cycle Environmental and Economic Transportation (AFLEET) Tool </t>
  </si>
  <si>
    <t>https://afleet.esia.anl.gov/home/</t>
  </si>
  <si>
    <t>Provided as both an online calculator and spreadsheet. More detailed than the Petroleum Reduction Planning Tool. Includes costs and energy demands for electric vehicles and charging in addition to gas powered vehicles.</t>
  </si>
  <si>
    <t>Sustainable NJ Green Cleaning Purchasing Tracking Spreadsheet</t>
  </si>
  <si>
    <t>Sustainable NJ</t>
  </si>
  <si>
    <t>NJ</t>
  </si>
  <si>
    <t>Green Purchasing</t>
  </si>
  <si>
    <t>product type
# units and $/unit</t>
  </si>
  <si>
    <t>Tracking spreadsheet, not a calculator.</t>
  </si>
  <si>
    <t>SJ Fleet Inventory Spreadsheet</t>
  </si>
  <si>
    <t>#/type of vehicles
miles driven
fuel usage and cost</t>
  </si>
  <si>
    <t>Fleet tracking spreadsheet, but does have a calculator for CO2 emissions included.</t>
  </si>
  <si>
    <t>Dashboard for Rapid Vehicle Electrification (DRVE)</t>
  </si>
  <si>
    <t>Atlas Public Policy</t>
  </si>
  <si>
    <t>https://atlaspolicy.com/dashboard-for-rapid-vehicle-electrification-drve/</t>
  </si>
  <si>
    <t>VIN for each vehicle
miles driven</t>
  </si>
  <si>
    <t>Imports all fleet vehicles and compare a fleet’s conventional vehicles with an electric vehicle alternative. Have to enter VINs for all vehicles. More complicated than other fleet calculators. Calculates total life cycle costs, including insurance and maintenance.</t>
  </si>
  <si>
    <t>Plastic Lifecycle Assessment Calculator for the Environment and Society (PLACES) </t>
  </si>
  <si>
    <t>The Circulate Initiative</t>
  </si>
  <si>
    <t>https://www.thecirculateinitiative.org/plastic-lifecycle-assessment-calculator-for-the-environment-and-society/</t>
  </si>
  <si>
    <t>Asia, Latin America, Caribbean</t>
  </si>
  <si>
    <t>Plastic</t>
  </si>
  <si>
    <t>tons of plastic and type</t>
  </si>
  <si>
    <t>Currently not set up for U.S. However, we could review the assumptions used in the tool to identify a way to calculate GHG and water savings from plastic reduction.</t>
  </si>
  <si>
    <t>Commercial Battery-Powered Electric Calculator</t>
  </si>
  <si>
    <t>Leading by Example, the Operational Services Division, and Quiet Communities</t>
  </si>
  <si>
    <t>https://www.mass.gov/doc/commercial-battery-powered-electric-lawn-and-garden-equipment-calculator/download</t>
  </si>
  <si>
    <t>Massachusetts</t>
  </si>
  <si>
    <t>Electric Landscaping Equipment</t>
  </si>
  <si>
    <t>equipment type</t>
  </si>
  <si>
    <t>NY conversion to all electric lawn equipment</t>
  </si>
  <si>
    <t>Calculates the GHG reduction and cost savings of converting gas-powered landscaping equipment to battery powered. Reduction in fuel used is not calculated, but can be determined by using the assumptions included in the spreadsheet.</t>
  </si>
  <si>
    <t>Bottled Water Calculator</t>
  </si>
  <si>
    <t>Responsible Purchasing Network</t>
  </si>
  <si>
    <t>http://www.responsiblepurchasing.org/purchasing_guides/bottled_water/calculator/</t>
  </si>
  <si>
    <t>Plastic, Reduced Water Use</t>
  </si>
  <si>
    <t>?</t>
  </si>
  <si>
    <t>USVI water refill stations</t>
  </si>
  <si>
    <t xml:space="preserve">RPN website is currently down, however the link is supposed to go to a calculator that will compare the cost and environmental impacts of 16.9 oz. bottles of water with tap water. Results are expressed in gallons of water, mega joules of energy, gallons of oil, pounds of CO2e, and dollars saved. </t>
  </si>
  <si>
    <t>Waste Reduction Model version 16</t>
  </si>
  <si>
    <t>US EPA</t>
  </si>
  <si>
    <t>https://www.epa.gov/waste-reduction-model/versions-waste-reduction-model#v16</t>
  </si>
  <si>
    <t>PAH Equivalent Concentration Calculator</t>
  </si>
  <si>
    <t>Oak Ridge National Laboratory</t>
  </si>
  <si>
    <t>https://rais.ornl.gov/cgi-bin/PAH_RPF/pahs.php#</t>
  </si>
  <si>
    <t>Resource</t>
  </si>
  <si>
    <t>Topics we need to find resources on for case study metric reporting:</t>
  </si>
  <si>
    <t>Green Purchasing Opportunities and Best Practices - Appendix C Life Cycle Cost Analysis</t>
  </si>
  <si>
    <t>https://des.wa.gov/sites/default/files/2022-06/green_purchasing.pdf</t>
  </si>
  <si>
    <t>Washington State</t>
  </si>
  <si>
    <t>Green Procurement</t>
  </si>
  <si>
    <t>NY DEC Safety Data Sheets, NY Green Purchasing Communities Program</t>
  </si>
  <si>
    <t>Provides steps to estimate a life cycle cost analysis for green procurement, including initial, operating, replacement, and end of life costs.</t>
  </si>
  <si>
    <t>Chris</t>
  </si>
  <si>
    <t>Single Use Plastics</t>
  </si>
  <si>
    <t>Julie/Adrienne</t>
  </si>
  <si>
    <t>Coal Tar Sealant Ban?</t>
  </si>
  <si>
    <t>Paige/Adrienne</t>
  </si>
  <si>
    <t>Native Plant Nurseries</t>
  </si>
  <si>
    <t>Production, use, and fate of all plastics ever made</t>
  </si>
  <si>
    <t>SCIENCE ADVANCES | RESEARCH ARTICLE</t>
  </si>
  <si>
    <t>https://www.science.org/doi/10.1126/sciadv.1700782</t>
  </si>
  <si>
    <t>Plastics reduction</t>
  </si>
  <si>
    <t>2017 study that synthesizes dispersed data to quantify the total plastics ever manufactured, their lifecycle, and environmental accumulation, emphasizing the rapid growth and persistent waste issues.</t>
  </si>
  <si>
    <t>Life Cycle Environmental Impact of PET Water Bottles</t>
  </si>
  <si>
    <t>https://nems.nih.gov/sustain/Pages/PETWaterBottleImpact.aspx#:~:text=PET%20plastic%20bottles%20take%20up%20to%20500,10%2D3%20kg%20CO2%20eq/500%20mL%20bottle%20landfilledvii.</t>
  </si>
  <si>
    <t>NIH Environmental Management System</t>
  </si>
  <si>
    <t xml:space="preserve">https://nems.nih.gov/Documents/PETWaterBottlesEnvironmentalImpact.pdf </t>
  </si>
  <si>
    <t>Life Cycle Environmental Impact of PET Water Bottles webpage</t>
  </si>
  <si>
    <t>NIH report on single-use plastic water bottles that reviews the environmental impacts throughout the life cycle of a standard 500 mL PET water bottle, primarily energy consumption and greenhouse gas (GHG) emissions.</t>
  </si>
  <si>
    <t>LEED v4 Outdoor Water Use Reduction Calculator</t>
  </si>
  <si>
    <t>USGBC</t>
  </si>
  <si>
    <t>https://www.usgbc.org/resources/leed-v4-outdoor-water-use-reduction-calculator</t>
  </si>
  <si>
    <t>Reduced Water Use</t>
  </si>
  <si>
    <t>Water</t>
  </si>
  <si>
    <t>Native Plants</t>
  </si>
  <si>
    <t>Calculates the difference in water use between typical landscaping practices/ornamental plants and native plants. Reduction is based on monthly rainfall data and evapotranspiration references from the EPA Water Sense program spreadsheets. Input the Rainfall and ET data, size of planting area, type of existing supplemental irrigation, types of plants/irrigation zone. And calculator outputs amount of water saved through native planting.</t>
  </si>
  <si>
    <t>Average weight of bottle</t>
  </si>
  <si>
    <t>divide the mass value by 1000</t>
  </si>
  <si>
    <t>conversion factor for grams to kg</t>
  </si>
  <si>
    <t xml:space="preserve">kilograms material </t>
  </si>
  <si>
    <t>Production  - crude oil and natural gas extraction and refinement to form PET resin</t>
  </si>
  <si>
    <t>Amount of PET bottles</t>
  </si>
  <si>
    <t>Plastic Water Bottles Impact Calculations</t>
  </si>
  <si>
    <t>Fabrication bottle creation</t>
  </si>
  <si>
    <t>Bottling Operation - treatment and dispensing of water to bottle</t>
  </si>
  <si>
    <t>Disposal</t>
  </si>
  <si>
    <t>0.050/500mL kg CO2-eq bottle</t>
  </si>
  <si>
    <t>0.04 kg CO2-eq/ 500 mL bottle</t>
  </si>
  <si>
    <t>.005 kg CO2-eq/ 500mL PET bottle filled</t>
  </si>
  <si>
    <t>0.021 kg CO2 eq/500 mL bottle landfilled</t>
  </si>
  <si>
    <t xml:space="preserve">1.4 gallons per bottle (IBWA) </t>
  </si>
  <si>
    <t>USVI</t>
  </si>
  <si>
    <t>0.02/bottle (Science Direct article)</t>
  </si>
  <si>
    <t>pounds</t>
  </si>
  <si>
    <t>.12 kg CO2-eq/bottle (NIH)</t>
  </si>
  <si>
    <t>Water Saved</t>
  </si>
  <si>
    <t>Cost deferred</t>
  </si>
  <si>
    <t>Lifecycle conversion factors</t>
  </si>
  <si>
    <t>32,290 kg CO2-eq</t>
  </si>
  <si>
    <t>GHG Avoided MTCO2e</t>
  </si>
  <si>
    <t>divide kg by  1,000</t>
  </si>
  <si>
    <t>32.29 MTCO2e</t>
  </si>
  <si>
    <t>WaterSense Water Budge Approach Calculator</t>
  </si>
  <si>
    <t>EPA WaterSense</t>
  </si>
  <si>
    <t>https://www.epa.gov/sites/default/files/2017-01/documents/ws-homes-water-budget-approach.pdf</t>
  </si>
  <si>
    <t>Reduce Outdoor Water Use</t>
  </si>
  <si>
    <t>type of vegetation, type of irrigation equipment installed, local reference evapotranspiration, and rainfall</t>
  </si>
  <si>
    <t>Use the WaterSense Water Budget Approach pdf to get a link to a spreadsheet that contains local reference evapotranspiration data and rainfall data by month for every zip code in the US. Can use these values to input into the calculator tool. The tool makes general assumptions to make it usable nationwide and promotes the design of a conservative landscape design. It should not be used to determine irrigation scheduling amounts as it is likely to result in the over-application of water.</t>
  </si>
  <si>
    <t>Can be individual count or weight estimate</t>
  </si>
  <si>
    <t>Caveats</t>
  </si>
  <si>
    <t>GHG Avoided *</t>
  </si>
  <si>
    <t>Calculation for GHG does not take into account transportation impact which can vary greatly depending on type and storage/cooling  cost to keep bottle at cetain temperature</t>
  </si>
  <si>
    <t xml:space="preserve">Calculation forwater consumption can vary so this number is conservative and taken from International Bottled Water Association </t>
  </si>
  <si>
    <t>LifeCycle Cost breakdown for bottle production</t>
  </si>
  <si>
    <t>Formula for PET water bottle</t>
  </si>
  <si>
    <t>Formula for HDPE single use Plastic Grocery store bags</t>
  </si>
  <si>
    <t># of bags</t>
  </si>
  <si>
    <t>0.02 to 0.03 kg CO2e
0.027 kg CO2e</t>
  </si>
  <si>
    <t>kg</t>
  </si>
  <si>
    <t>lb</t>
  </si>
  <si>
    <t>divide kg by  1,000 to get MT</t>
  </si>
  <si>
    <t>0.5 grams</t>
  </si>
  <si>
    <t>Formula for PP single use Plastic straw</t>
  </si>
  <si>
    <t># of straws</t>
  </si>
  <si>
    <t>Formula for PP single use Plastic utensils</t>
  </si>
  <si>
    <t>.00252 kg CO2/cutlery</t>
  </si>
  <si>
    <t xml:space="preserve">.00146 kg CO2/straw </t>
  </si>
  <si>
    <t># of cutlery</t>
  </si>
  <si>
    <t>0.03 gallons</t>
  </si>
  <si>
    <t>0.16 to 0.22 gallons</t>
  </si>
  <si>
    <t>2.49grams</t>
  </si>
  <si>
    <t>9.32 grams lightweight PET bottles (IBWA, NAPCOR)</t>
  </si>
  <si>
    <t>6 grams</t>
  </si>
  <si>
    <t>$0.006 per bag (Duke 2025)  bag creates 0.03 kg of CO2,  SCC 16-40/MT CO2.  (0.00003 \ MT CO2 times ($190/ MT) = {$0.0057 \ per bag</t>
  </si>
  <si>
    <t>straw creates 0.001 kg of CO2,  SCC $190/MT CO2.  (0.00003 \ MT CO2 times (SCC 16-40/ MTCO2) = {$0.0057 \ per bag</t>
  </si>
  <si>
    <t>cutlery creates 0.002 kg of CO2,  SCC $190/MT CO2.  (0.00003 \ MT CO2 times (SCC 16-40/ MTCO2/ MT) = {$0.0057 \ per bag</t>
  </si>
  <si>
    <t xml:space="preserve">0.04 gallons (150 mL) per bag </t>
  </si>
  <si>
    <t>Landscaping Practices</t>
  </si>
  <si>
    <t>Comparative life cycle GHG emissions of single-use plastic cups and reusable cups for beverages</t>
  </si>
  <si>
    <t>Environmnetal Engineering Research 2025; 30(5): 240722</t>
  </si>
  <si>
    <t>South Korea</t>
  </si>
  <si>
    <t>Evolution of drinking straws and their environmental, economic and societal implications</t>
  </si>
  <si>
    <t>Journal of Cleaner Production</t>
  </si>
  <si>
    <t>Canada</t>
  </si>
  <si>
    <t>Documentation for Greenhouse Gas Emission and Energy Factors Used in the Waste Reduction Model (WARM): Containers, Packaging, and Non-Durable Good Materials Chapters</t>
  </si>
  <si>
    <t>United States</t>
  </si>
  <si>
    <t>Cradle-to-grave life cycle assessment of single-use cups made from PLA, PP and PET</t>
  </si>
  <si>
    <t>Resources, Conservation &amp; Recycling</t>
  </si>
  <si>
    <t>Europe</t>
  </si>
  <si>
    <t>Life Cycle Assessment of Predominant U.S. Beverage Container Systems For Carbonated Soft Drinks and Domestic Still Water</t>
  </si>
  <si>
    <t>National Association for PET Container Resources NAPCOR</t>
  </si>
  <si>
    <t>North America</t>
  </si>
  <si>
    <t>Review Of Life Cycle Data Relating To Disposable, Compostable, Biodegradable, And Reusable Grocery Bags</t>
  </si>
  <si>
    <t>The ULS Report</t>
  </si>
  <si>
    <t>Life cycle assessment of environmental impact of disposable drinking straws: A trade-off analysis with marine litter in the United States</t>
  </si>
  <si>
    <t>Sci Total Environ. 2022</t>
  </si>
  <si>
    <t>Life Cycle Assessment of Reusable and Single-use Plastic Bags in California</t>
  </si>
  <si>
    <t>Joseph Greene, Ph.D. California State University
Chico Research Foundation</t>
  </si>
  <si>
    <t>California</t>
  </si>
  <si>
    <t>Life Cycle Assessment of Common Drink Packaging</t>
  </si>
  <si>
    <t>IBWA</t>
  </si>
  <si>
    <t>North American Bottled Water Industry Benchmarking Study Executive Summary</t>
  </si>
  <si>
    <t>A Brief Analysis of Life Cycle Analyses (LCAs) and the Impacts of Plastic Vs. Paper Bags</t>
  </si>
  <si>
    <t>Californians Against Waste</t>
  </si>
  <si>
    <t>Life cycle assessment of supermarket carrier bags: a review of the bags available in 2006</t>
  </si>
  <si>
    <t>Environmental Agency</t>
  </si>
  <si>
    <t>UK</t>
  </si>
  <si>
    <t>Comparative Study of a Life Cycle Assessment for Bio-Plastic Straws and Paper Straws: Malaysia’s Perspective</t>
  </si>
  <si>
    <t>Processes</t>
  </si>
  <si>
    <t>MDPI, Basel, Switzerland</t>
  </si>
  <si>
    <t>https://www.eeer.org/journal/view.php?number=1655</t>
  </si>
  <si>
    <t>https://www.researchgate.net/publication/353092332_Evolution_of_drinking_straws_and_their_environmental_economic_and_societal_implications</t>
  </si>
  <si>
    <t>https://www.epa.gov/system/files/documents/2023-12/warm_containers_packaging_and_non-durable_goods_materials_v16_dec.pdf</t>
  </si>
  <si>
    <t xml:space="preserve">https://www.sciencedirect.com/science/article/pii/S0921344921001154 </t>
  </si>
  <si>
    <t>https://positivelypet.org/wp-content/uploads/2023/03/NAPCOR-Beverage-Container-LCA-Report-2023.pdf</t>
  </si>
  <si>
    <t>https://paperbox.org/wp-content/uploads/2019/05/Paper-Plastic-Bag-LCA-2008.pdf</t>
  </si>
  <si>
    <t>https://pmc.ncbi.nlm.nih.gov/articles/PMC8897272/</t>
  </si>
  <si>
    <t>https://plasticsparadox.com/wp-content/uploads/2021/01/Life-Cycle-Assessment-of-Reusable-and-Single-use-Plastic-Bags-in-California.pdf</t>
  </si>
  <si>
    <t>https://bottledwater.org/wp-content/uploads/2024/04/IBWA-Trayak-Full-Report-32321.pdf</t>
  </si>
  <si>
    <t>https://bottledwater.org/wp-content/uploads/2024/08/IBWA-Benchmarking-Executive-Summary_May-2024.pdf</t>
  </si>
  <si>
    <t>https://www.nrcm.org/wp-content/uploads/2016/05/Comparing-environmental-impact-of-plastic-vs.-paper.pdf</t>
  </si>
  <si>
    <t>https://assets.publishing.service.gov.uk/media/5a7bff74ed915d01ba1ca7c7/scho0711buan-e-e.pdf</t>
  </si>
  <si>
    <t>https://www.mdpi.com/2227-9717/9/6/1007</t>
  </si>
  <si>
    <t>Life Cycle Assessment for Three Types of Grocery Bags - Recyclable Plastic; Compostable, Biodegradable Plastic; and Recycled, Recyclable Paper</t>
  </si>
  <si>
    <t xml:space="preserve">Boustead Consulting &amp; Associates </t>
  </si>
  <si>
    <t>https://p2infohouse.org/ref/47/46146.pdf</t>
  </si>
  <si>
    <t>Review Of Life Cycle Assessments Comparing Paper And Plastic Products</t>
  </si>
  <si>
    <t>National Council for Air and Stream Improvement, Inc NCASI</t>
  </si>
  <si>
    <t>https://www.ncasi.org/wp-content/uploads/2020/11/WP-20-09_Plastic_vs_Paper_LCA_Review_Nov2020.pdf</t>
  </si>
  <si>
    <t>Greenhouse Gas Emissions</t>
  </si>
  <si>
    <t>Number of plants grown (in containers)</t>
  </si>
  <si>
    <t>x</t>
  </si>
  <si>
    <t>amount of plastic consumed/ avoided (oz)</t>
  </si>
  <si>
    <t>convert oz to kg</t>
  </si>
  <si>
    <t>/35.274</t>
  </si>
  <si>
    <t>amount of plastic consumed/ avoided (kg)</t>
  </si>
  <si>
    <t>HDPE = 1.92 kg CO2 per 1kg HDPE**</t>
  </si>
  <si>
    <t>recycled HDPE = 0.24 kg CO2 per 1kg rHDPE**</t>
  </si>
  <si>
    <t>**https://www.petnology.com/magazine/article/wanted-solutions-on-a-silver-platter</t>
  </si>
  <si>
    <t>x 1.92</t>
  </si>
  <si>
    <t>x 0.24</t>
  </si>
  <si>
    <t>GHG CO2 consumed/ avoided (HDPE)</t>
  </si>
  <si>
    <t>GHG CO2 consumed/ avoided (rHDPE)</t>
  </si>
  <si>
    <t>Average Amount of plastic per 1-gal container (oz)*</t>
  </si>
  <si>
    <t>(</t>
  </si>
  <si>
    <t>Size of container (gal)</t>
  </si>
  <si>
    <t>)</t>
  </si>
  <si>
    <t>Name of External Nursery for Trees/Shrubs Sourcing</t>
  </si>
  <si>
    <t>NYS DEC Saratoga Tree Nursery</t>
  </si>
  <si>
    <t>Delivery trips needed/ taken?</t>
  </si>
  <si>
    <t>Type of delivery Vehicle</t>
  </si>
  <si>
    <t>Fuel Type</t>
  </si>
  <si>
    <t>Emissions by Vehicle per gal of fuel use</t>
  </si>
  <si>
    <t>Select Vehicle</t>
  </si>
  <si>
    <t>Select Fuel Type</t>
  </si>
  <si>
    <t>Use source data or assumptions from EPA</t>
  </si>
  <si>
    <t>Type of delivery vehicle/fuel type</t>
  </si>
  <si>
    <t>Select Vehicle/Fuel Type from drop-down menu</t>
  </si>
  <si>
    <t>Emissions CO2 or CO2-e per trip</t>
  </si>
  <si>
    <t>autofill from type of delivery-fuel type-emissions chart</t>
  </si>
  <si>
    <t>equals total emissions per trip</t>
  </si>
  <si>
    <t>PLASTIC CONTAINER GROWING VS BARE ROOT SYSTEM</t>
  </si>
  <si>
    <t>LOCAL SOURCING OF PLANT MATERIAL</t>
  </si>
  <si>
    <t>North Creek Nursery, Landenberg, PA</t>
  </si>
  <si>
    <t>Water Use Reductions</t>
  </si>
  <si>
    <t>Plant Type</t>
  </si>
  <si>
    <t>Plant Quantity</t>
  </si>
  <si>
    <t>Sweetgrass</t>
  </si>
  <si>
    <t>Spacing (inches on center)</t>
  </si>
  <si>
    <t>Use Classy Groundcovers Plant Count Calculator (Square or Triangular Spacing)</t>
  </si>
  <si>
    <t>https://classygroundcovers.com/site/page?view=plantCalculator&amp;srsltid=AfmBOooFOS8F4YBkYDH_mm0Cm-cwRTrocZlTrV7rOwMSmDVr2PADDWKJ</t>
  </si>
  <si>
    <t>Area Covered (sf)</t>
  </si>
  <si>
    <t>Total Landscaped Area of Project (sf)</t>
  </si>
  <si>
    <t>Willow</t>
  </si>
  <si>
    <t>Dogwood</t>
  </si>
  <si>
    <t>LANDSCAPED AREA BY PLANT QUANTITY &amp; SPACING</t>
  </si>
  <si>
    <t>Landscaped Area (use area from plans, or estimate planted area from Landscaped Area by Plant Quantity &amp; Spacing chart) (sf)</t>
  </si>
  <si>
    <t>Project Zip Code</t>
  </si>
  <si>
    <t>Use ws-data-information-et-rainfall spreadsheet to find monthly rainfall (P50)</t>
  </si>
  <si>
    <t>Use ws-data-information-et-rainfall spreadsheet to find monthly evapotranspiration (ETo)</t>
  </si>
  <si>
    <t>input data into LEED v4_Outdoor Water Use Reduction Calc- Baseline Calc Sheet</t>
  </si>
  <si>
    <t>Landscape Water Allowance (gal/month) from LEED v4_calc</t>
  </si>
  <si>
    <t>Landscape Water Baseline (gal/month) from LEED v4_calc</t>
  </si>
  <si>
    <t>Average monthly rainfall for the site's peak watering month (in/month) from LEED v4_Calc Landscape Water Req sheet</t>
  </si>
  <si>
    <t>Fill out Landscape water requirement chart in LEED v4 spreadsheet</t>
  </si>
  <si>
    <t>input data into LEED v4_Outdoor Water Use Reduction Calc- Landscape Water Req Sheet</t>
  </si>
  <si>
    <t>Percent Reduction from baseline (%)</t>
  </si>
  <si>
    <t>Gallons saved per year</t>
  </si>
  <si>
    <t>Gallons saved per month (estimate based on landscape water allowance)</t>
  </si>
  <si>
    <t>Landscape Water Requirement based on site's peak watering month (gal/month) from LEED v4 Calc *choose Medium Water Needs - Fixed Spray to establish baseline water needs for non-native species needs with supplemental watering provided by sprinkler or hose</t>
  </si>
  <si>
    <t>Landscape Water Requirement based on site's peak watering month (gal/month) from LEED v4 Calc *choose Low Water Needs - No Irrigation or Drip Standard (if some water may be applied) to estimate native water needs</t>
  </si>
  <si>
    <t>Will Irrigation be applied to site post-construction? Yes- Select Drip Standard, No- Select No Irrigation</t>
  </si>
  <si>
    <t>*should be noted that depending on the type of supplemental irrigation selected, runoff will vary. Drip irrigation produces very little runoff because of direct application around roots, where fixed spray or hose application is applied over the surface and can create runoff. Changing the water needs and type of irrigation provided will impact baseline for non-native and estimate for native with minimal water application.</t>
  </si>
  <si>
    <t>WATER USE REDUCTION CALCULATIONS</t>
  </si>
  <si>
    <t>Nutrient/Fertilizer Application Reductions</t>
  </si>
  <si>
    <t>Calculations assume application of a 10-6-4 fertilizer for perennial applications</t>
  </si>
  <si>
    <t>Calculations assume an application rate of 0.1 lbs nitrogen (N) per 10 sf of planting area (https://extension.umd.edu/resource/care-annuals-and-perennials/)</t>
  </si>
  <si>
    <t>Project Planting Area (sf)</t>
  </si>
  <si>
    <t>Total Quantity of Fertilizer</t>
  </si>
  <si>
    <t>Calculations assume one application of 10-6-4 fertilizer per year in the spring</t>
  </si>
  <si>
    <t>10% Nitrogen (lbs)</t>
  </si>
  <si>
    <t>6% Phosphorus (lbs)</t>
  </si>
  <si>
    <t>4% Potassium (lbs)</t>
  </si>
  <si>
    <t>N Runoff Avoided (lbs)</t>
  </si>
  <si>
    <t>P Runoff Avoided (lbs)</t>
  </si>
  <si>
    <t>K Runoff Avoided (lbs)</t>
  </si>
  <si>
    <t>If soil types are A-B use 40% nutrient runoff potential, If soil types are C-D use 70% nutrient runoff potential</t>
  </si>
  <si>
    <t>1. Insert Planting Area to determine nutrient runoff reduction</t>
  </si>
  <si>
    <t>Total Nutrients Applied/Avoided During Years 1-3 of establishment (A-B soils)</t>
  </si>
  <si>
    <t>Total Nutrient Applied/Avoided During Years 1-3 of establishment (C-D soils)</t>
  </si>
  <si>
    <t>N (lbs)</t>
  </si>
  <si>
    <t>P (lbs)</t>
  </si>
  <si>
    <t>K (lbs)</t>
  </si>
  <si>
    <t>Calculations assume that fertilizers would only be applied during the first 1-3 years of plant establishment in a typical landscaping project</t>
  </si>
  <si>
    <t>Distance between External Nursery and Municipal Nursery or Project Site (miles round-trip)</t>
  </si>
  <si>
    <t xml:space="preserve">Calculations rely on Average Monthly Rainfall Data from the [ws-data-information-et-rainfall] spreadsheet. </t>
  </si>
  <si>
    <t>Calculation users should utilize the data set to find monthly rainfall (p520) and monthly evapotranspiration (Eto)</t>
  </si>
  <si>
    <t>Calculations rely on filling out the LEED v4 Outdoor Water Use Reduction Calculator</t>
  </si>
  <si>
    <t>Green Fleet Pollution Reduction Calculations</t>
  </si>
  <si>
    <t>Assume approximately 0.01% of dispensed fuel spilled during refueling (from California Air Resources Board study)</t>
  </si>
  <si>
    <t>Assume that even tiny spills persist long enough to be mobilized by rainfall runoff</t>
  </si>
  <si>
    <t>the US Geological Survey found gasoline-related compounds in approximately 23% of stormwater samples including from fuel spills, leaks and atmospheric deposition</t>
  </si>
  <si>
    <t>Assume there is a 10-50% wash-off of pollutants from fuel spills and leaks</t>
  </si>
  <si>
    <t>If you do not know the project planting area, use the "Landscaped Area by Plant Quantity &amp; Spacing" chart to estimate size.</t>
  </si>
  <si>
    <t>These calculations rely on the use of an external web site "classygroundcovers.com" to estimate planted area. Select Square or Triangular plant arrangement pattern depending on your project</t>
  </si>
  <si>
    <t>N-P-K FERTILIZER REDUCTION CALCULATIONS- PLANTED PROJECT</t>
  </si>
  <si>
    <t>N-P-K FERTILIZER REDUCTION CALCULATIONS- NURSERY OPERATION</t>
  </si>
  <si>
    <t>Assume only 2 applications per year for native plants</t>
  </si>
  <si>
    <t>Assume liquid fertilizer is used 2-6 times per year, weekly or monthly during active growth stages</t>
  </si>
  <si>
    <t>Trees (12-36" height)</t>
  </si>
  <si>
    <t>Allotted spacing per plant is representative of root zone where fertilizer would be applied, or typical size of container (1-3 gal for container plants, or 4 inches for plugs)</t>
  </si>
  <si>
    <t>Allotted Spacing per plant (inches)</t>
  </si>
  <si>
    <t>Herbaceous Container (1-gal pot)</t>
  </si>
  <si>
    <t>Plugs (72-cell tray)</t>
  </si>
  <si>
    <t>Shrubs (3-gal pot)</t>
  </si>
  <si>
    <t>To calculate surface area multiply plant quantity by the area of round containers or root balls.</t>
  </si>
  <si>
    <t>Surface Area for Fertilizer Application per plant (inches)</t>
  </si>
  <si>
    <t>Surface Area (sf)</t>
  </si>
  <si>
    <t>Surface Area for Fertilizer Application (# plants x spacing) (inches)</t>
  </si>
  <si>
    <t>This calculation applies to single years of fertilizer application.</t>
  </si>
  <si>
    <t>Total Nutrients Applied/Avoided (Single Year- 2 Applications)</t>
  </si>
  <si>
    <t>This calculation assumes typical fertilizer loss from nursery operations between 15-30% which varies based on irrigation method, type of fertilizer, fertilizer application method</t>
  </si>
  <si>
    <t>Assumed Fertilizer Loss Percentage</t>
  </si>
  <si>
    <t>Assume 50%-90% of leached nutrients reach runoff (varies based on nursery drainage system, if plants are grown on a permeable surface, etc.)</t>
  </si>
  <si>
    <t>Assumed Percentage of Leached Nutrients Reaching Runoff</t>
  </si>
  <si>
    <t>Nutrient Pollutant Runoff (lbs)</t>
  </si>
  <si>
    <t>*Average amount of plastic per container is an average of a variety of typical plant containers weights at the 1-gallon pot size</t>
  </si>
  <si>
    <t>Number of Internal Combustion Engines (ICE)</t>
  </si>
  <si>
    <t>Number of EV vehicles (EV, PHEV, etc.)</t>
  </si>
  <si>
    <t>% of Fleet Electrified</t>
  </si>
  <si>
    <t>Total Vehicles in Fleet</t>
  </si>
  <si>
    <t>Gasoline</t>
  </si>
  <si>
    <t>Diesel</t>
  </si>
  <si>
    <t>Electricity (kWh/yr)</t>
  </si>
  <si>
    <t>Gasoline (gal/yr)</t>
  </si>
  <si>
    <t>Diesel (gal/yr)</t>
  </si>
  <si>
    <t>Biodiesel (gal/yr)</t>
  </si>
  <si>
    <t>Inputs</t>
  </si>
  <si>
    <t>FLEET DATA</t>
  </si>
  <si>
    <t>FUEL USE</t>
  </si>
  <si>
    <t>*only liquid fuels contribute to spills &amp; leaks during refueling</t>
  </si>
  <si>
    <t>Parameter</t>
  </si>
  <si>
    <t>Value</t>
  </si>
  <si>
    <t>ASSUMPTIONS</t>
  </si>
  <si>
    <t>Spill Rate</t>
  </si>
  <si>
    <t>Washoff (low potential)</t>
  </si>
  <si>
    <t>Washoff (high potential)</t>
  </si>
  <si>
    <t>FUEL SPILLED (per year)</t>
  </si>
  <si>
    <t>*relies on the equation: Fuel Use * Spill Rate</t>
  </si>
  <si>
    <t>Fuel Consumed (annual)</t>
  </si>
  <si>
    <t>EV=0</t>
  </si>
  <si>
    <t>WASHOFF ASSUMPTION</t>
  </si>
  <si>
    <t>Low Estimate</t>
  </si>
  <si>
    <t>High Estimate</t>
  </si>
  <si>
    <t>CONVERT TO LBS HYDROCARBONS/YR</t>
  </si>
  <si>
    <t>This will calculate current baseload of potential pollutants to stormwater based on current fleet inventory</t>
  </si>
  <si>
    <t>Aprx. Density (lbs/gal)</t>
  </si>
  <si>
    <t>lbs/gal (low estimate)</t>
  </si>
  <si>
    <t>lbs/gal (high estimate)</t>
  </si>
  <si>
    <t>Baseline Calcs:</t>
  </si>
  <si>
    <t>Example: City of Kingston</t>
  </si>
  <si>
    <t>OH NO! THOUGHT WE COULD INPUT A SCENARIO CALCULATOR TO PLAN TO SWITCH AN ICE FOR AN EV AND CALCULATE THE REDUCTION, BUT WE WOULD NEED THAT VEHICLES FUEL ECONOMY AND MILES DRIVEN, ETC.</t>
  </si>
  <si>
    <t>BASELINE CALCULATIONS</t>
  </si>
  <si>
    <t>Number of Vehicles</t>
  </si>
  <si>
    <t>Estimated Fuel Use by Vehicle</t>
  </si>
  <si>
    <t>Gasoline (gal/yr)*</t>
  </si>
  <si>
    <t>*Gasoline accounts for the combined quantities of E10 Gasoline-Ethanol and E10 Gasoline-Gas as noted in the Green Fleet Annual Report</t>
  </si>
  <si>
    <t>*These calculations are based off of the City of Kingston's Municipal Vehicle Fleet Report for 2025</t>
  </si>
  <si>
    <t xml:space="preserve">Fuel Consumed </t>
  </si>
  <si>
    <t>Links to Spreadsheets</t>
  </si>
  <si>
    <t>https://www.epa.gov/watersense/water-budget-tool</t>
  </si>
  <si>
    <t>Instructions: go to the bottom of the page where it says, "Help Using the Water Budget Tool" and click on the link to download the full data used in the Water Budget Tool.</t>
  </si>
  <si>
    <t>Assume 40% of nutrients applied become runoff (Soil Type A-B)</t>
  </si>
  <si>
    <t>Assume 70% of nutrients applied become runoff  (Soil Type 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</si>
</sst>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6" x14ac:knownFonts="1">
    <font>
      <sz val="11"/>
      <color theme="1"/>
      <name val="Aptos Narrow"/>
      <family val="2"/>
      <scheme val="minor"/>
    </font>
    <font>
      <u/>
      <sz val="11"/>
      <color theme="10"/>
      <name val="Aptos Narrow"/>
      <family val="2"/>
      <scheme val="minor"/>
    </font>
    <font>
      <b/>
      <sz val="11"/>
      <color theme="1"/>
      <name val="Aptos Narrow"/>
      <family val="2"/>
      <scheme val="minor"/>
    </font>
    <font>
      <i/>
      <sz val="11"/>
      <color theme="1"/>
      <name val="Aptos Narrow"/>
      <family val="2"/>
      <scheme val="minor"/>
    </font>
    <font>
      <sz val="12"/>
      <color theme="1"/>
      <name val="Aptos"/>
      <family val="2"/>
    </font>
    <font>
      <sz val="11"/>
      <color theme="1"/>
      <name val="Aptos Narrow"/>
      <family val="2"/>
      <scheme val="minor"/>
    </font>
  </fonts>
  <fills count="3">
    <fill>
      <patternFill patternType="none"/>
    </fill>
    <fill>
      <patternFill patternType="gray125"/>
    </fill>
    <fill>
      <patternFill patternType="solid">
        <fgColor theme="0" tint="-0.149967955565050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applyNumberFormat="0" applyFill="0" applyBorder="0" applyAlignment="0" applyProtection="0"/>
    <xf numFmtId="9" fontId="5" fillId="0" borderId="0" applyFont="0" applyFill="0" applyBorder="0" applyAlignment="0" applyProtection="0"/>
  </cellStyleXfs>
  <cellXfs count="40">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wrapText="1"/>
    </xf>
    <xf numFmtId="0" fontId="1" fillId="0" borderId="0" xfId="1" applyAlignment="1">
      <alignment wrapText="1"/>
    </xf>
    <xf numFmtId="0" fontId="2" fillId="0" borderId="0" xfId="0" applyFont="1"/>
    <xf numFmtId="0" fontId="1" fillId="0" borderId="0" xfId="1"/>
    <xf numFmtId="0" fontId="1" fillId="0" borderId="0" xfId="1" applyAlignment="1">
      <alignment vertical="center" wrapText="1"/>
    </xf>
    <xf numFmtId="3" fontId="0" fillId="0" borderId="0" xfId="0" applyNumberFormat="1"/>
    <xf numFmtId="3" fontId="0" fillId="0" borderId="0" xfId="0" applyNumberFormat="1" applyAlignment="1">
      <alignment wrapText="1"/>
    </xf>
    <xf numFmtId="0" fontId="2" fillId="2" borderId="0" xfId="0" applyFont="1" applyFill="1" applyAlignment="1">
      <alignment wrapText="1"/>
    </xf>
    <xf numFmtId="0" fontId="2" fillId="2" borderId="0" xfId="0" applyFont="1" applyFill="1"/>
    <xf numFmtId="0" fontId="3" fillId="0" borderId="0" xfId="0" applyFont="1"/>
    <xf numFmtId="0" fontId="4" fillId="0" borderId="0" xfId="0" applyFont="1" applyAlignment="1">
      <alignment wrapText="1"/>
    </xf>
    <xf numFmtId="4" fontId="0" fillId="0" borderId="0" xfId="0" applyNumberFormat="1"/>
    <xf numFmtId="9" fontId="0" fillId="0" borderId="0" xfId="0" applyNumberFormat="1"/>
    <xf numFmtId="164" fontId="0" fillId="0" borderId="0" xfId="0" applyNumberFormat="1"/>
    <xf numFmtId="2" fontId="0" fillId="0" borderId="0" xfId="0" applyNumberFormat="1"/>
    <xf numFmtId="10" fontId="0" fillId="0" borderId="0" xfId="0" applyNumberFormat="1"/>
    <xf numFmtId="165" fontId="0" fillId="0" borderId="0" xfId="2" applyNumberFormat="1" applyFont="1"/>
    <xf numFmtId="0" fontId="0" fillId="0" borderId="1" xfId="0" applyBorder="1"/>
    <xf numFmtId="0" fontId="2" fillId="0" borderId="2" xfId="0" applyFont="1" applyBorder="1"/>
    <xf numFmtId="0" fontId="0" fillId="0" borderId="2" xfId="0" applyBorder="1"/>
    <xf numFmtId="0" fontId="0" fillId="0" borderId="3" xfId="0" applyBorder="1"/>
    <xf numFmtId="0" fontId="0" fillId="0" borderId="4" xfId="0" applyBorder="1" applyAlignment="1">
      <alignment horizontal="left" vertical="top" wrapText="1"/>
    </xf>
    <xf numFmtId="0" fontId="0" fillId="0" borderId="5" xfId="0" applyBorder="1" applyAlignment="1">
      <alignment wrapText="1"/>
    </xf>
    <xf numFmtId="0" fontId="0" fillId="0" borderId="4" xfId="0" applyBorder="1" applyAlignment="1">
      <alignment wrapText="1"/>
    </xf>
    <xf numFmtId="0" fontId="0" fillId="0" borderId="5" xfId="0" applyBorder="1"/>
    <xf numFmtId="0" fontId="0" fillId="0" borderId="6" xfId="0" applyBorder="1" applyAlignment="1">
      <alignment wrapText="1"/>
    </xf>
    <xf numFmtId="0" fontId="0" fillId="0" borderId="7" xfId="0" applyBorder="1"/>
    <xf numFmtId="0" fontId="0" fillId="0" borderId="8" xfId="0" applyBorder="1"/>
    <xf numFmtId="0" fontId="0" fillId="0" borderId="4" xfId="0" applyBorder="1"/>
    <xf numFmtId="3" fontId="0" fillId="0" borderId="4" xfId="0" applyNumberFormat="1" applyBorder="1"/>
    <xf numFmtId="0" fontId="0" fillId="0" borderId="6" xfId="0" applyBorder="1"/>
    <xf numFmtId="0" fontId="0" fillId="0" borderId="0" xfId="0"/>
    <xf numFmtId="0" fontId="2" fillId="0" borderId="0" xfId="0" applyFont="1" applyAlignment="1">
      <alignment horizontal="center"/>
    </xf>
    <xf numFmtId="0" fontId="0" fillId="0" borderId="0" xfId="0" applyAlignment="1">
      <alignment horizontal="center" wrapText="1"/>
    </xf>
    <xf numFmtId="0" fontId="2" fillId="0" borderId="0" xfId="0" applyFont="1" applyAlignment="1">
      <alignment horizontal="center" wrapText="1"/>
    </xf>
    <xf numFmtId="0" fontId="0" fillId="0" borderId="0" xfId="0" applyAlignment="1">
      <alignment horizontal="center"/>
    </xf>
  </cellXfs>
  <cellStyles count="3">
    <cellStyle name="Hyperlink" xfId="1" builtinId="8"/>
    <cellStyle name="Normal" xfId="0" builtinId="0"/>
    <cellStyle name="Percent" xfId="2" builtinId="5"/>
  </cellStyles>
  <dxfs count="27">
    <dxf>
      <alignment vertical="bottom" textRotation="0" wrapText="1" justifyLastLine="0" shrinkToFit="0" readingOrder="0"/>
    </dxf>
    <dxf>
      <alignment vertical="bottom" textRotation="0" wrapText="1"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horizontal="general"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Lisa Fraley-McNeal" id="{DAF2EDBB-CA05-4AEB-BC2E-4283DCBA7576}" userId="lfm@cwp.org" providerId="PeoplePicker"/>
  <person displayName="Chris Swann" id="{61D7275D-F1C0-48EB-8F1F-02F99D55C18F}" userId="S::cps@cwp.org::0bc6faf9-99f7-4607-87d2-d5d332e0ac37" providerId="AD"/>
  <person displayName="Lisa Fraley-McNeal" id="{8494952F-CB1F-458A-A231-0A8E2A693964}" userId="S::lfm@cwp.org::4f89f72a-397b-4be2-abc2-942791bef2fd" providerId="AD"/>
  <person displayName="Paige Buzard" id="{E12B1516-395A-421E-B532-067155AAFD98}" userId="S::prb@cwp.org::2aaf6155-52ca-4e50-bc01-9c4d945a8e0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7274CD-9B3C-41D6-A159-A1F657BEAA22}" name="Table1" displayName="Table1" ref="A1:L12" totalsRowShown="0" headerRowDxfId="26" dataDxfId="25">
  <autoFilter ref="A1:L12" xr:uid="{A27274CD-9B3C-41D6-A159-A1F657BEAA22}"/>
  <tableColumns count="12">
    <tableColumn id="1" xr3:uid="{7575BE70-ACF7-404D-A296-DA1692D848E1}" name="Calculator" dataDxfId="24"/>
    <tableColumn id="2" xr3:uid="{568801B4-B254-4DFF-937B-7B67CB14265A}" name="Source" dataDxfId="23"/>
    <tableColumn id="3" xr3:uid="{98E58A60-2DCA-412D-A60E-A66EDED67AD9}" name="Link/Location" dataDxfId="22"/>
    <tableColumn id="4" xr3:uid="{0DE3C945-2076-46EA-B63F-18BED1F9E034}" name="Region of Origin" dataDxfId="21"/>
    <tableColumn id="5" xr3:uid="{DB80BF5D-D5B0-4E98-B631-D76E8A9592C6}" name="P2 Focus" dataDxfId="20"/>
    <tableColumn id="12" xr3:uid="{6705251F-CB54-4D51-A957-3E889CF798B8}" name="Primary Inputs" dataDxfId="19"/>
    <tableColumn id="6" xr3:uid="{1937A3BD-CAEF-42CC-A611-19531FB18C80}" name="Method to estimate reduction in pounds of hazardous materials used and pollutants released " dataDxfId="18"/>
    <tableColumn id="7" xr3:uid="{6DF9EDF6-8EDA-49C0-8BD8-7A8B00913B4F}" name="Method to estimate reduction in metric tons of MTCO2e released " dataDxfId="17"/>
    <tableColumn id="8" xr3:uid="{7310750B-37E2-4398-BA1C-3346A74AB663}" name="Method to estimate reduction in gallons of water used " dataDxfId="16"/>
    <tableColumn id="9" xr3:uid="{DFE0C2F1-8D40-416C-9776-7B19321A24F3}" name="Method to estimate dollars saved " dataDxfId="15"/>
    <tableColumn id="11" xr3:uid="{09712604-6884-4AB8-9CE5-7BCF7DF626F1}" name="Applicable Case Study" dataDxfId="14"/>
    <tableColumn id="10" xr3:uid="{3EE3048B-9F68-4B5F-9201-0CF5AA0BFE29}" name="Notes" dataDxfId="1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505B2C-3F79-477C-A776-0D820D10C152}" name="Table2" displayName="Table2" ref="A1:K20" totalsRowShown="0" headerRowDxfId="12" dataDxfId="11">
  <autoFilter ref="A1:K20" xr:uid="{E9505B2C-3F79-477C-A776-0D820D10C152}"/>
  <tableColumns count="11">
    <tableColumn id="1" xr3:uid="{9D1A2B2F-9382-4C66-85B5-1BCF22056EEC}" name="Resource" dataDxfId="10"/>
    <tableColumn id="2" xr3:uid="{C630481E-CC7B-421F-B5F1-4755C27D5B96}" name="Source" dataDxfId="9"/>
    <tableColumn id="3" xr3:uid="{64BECA97-2C42-494E-8448-C1C50CAFD7DA}" name="Link/Location" dataDxfId="8" dataCellStyle="Hyperlink"/>
    <tableColumn id="4" xr3:uid="{213C1FBD-9564-49BC-B7EA-B959417F04B0}" name="Region of Origin" dataDxfId="7"/>
    <tableColumn id="5" xr3:uid="{D5BCACE5-9D5C-4101-B973-EF86FEEC09D0}" name="P2 Focus" dataDxfId="6"/>
    <tableColumn id="11" xr3:uid="{6BE4FF9B-8DAE-4638-BC19-F0ACABF4D8C5}" name="Method to estimate reduction in pounds of hazardous materials used and pollutants released " dataDxfId="5"/>
    <tableColumn id="10" xr3:uid="{B7D86569-E2FA-437A-9C96-305C8E284BAE}" name="Method to estimate reduction in metric tons of MTCO2e released " dataDxfId="4"/>
    <tableColumn id="9" xr3:uid="{D2C9F252-BB7C-4E72-92E1-4DF7FF957FF9}" name="Method to estimate reduction in gallons of water used " dataDxfId="3"/>
    <tableColumn id="8" xr3:uid="{3764521F-93A4-4A20-9137-36D0CFA8693F}" name="Method to estimate dollars saved " dataDxfId="2"/>
    <tableColumn id="6" xr3:uid="{A6644A5D-F452-4A14-A446-8B8F5D396BC0}" name="Applicable Case Study" dataDxfId="1"/>
    <tableColumn id="7" xr3:uid="{7CD66850-F96C-445B-8A71-FF8D966BA528}" name="Not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4" dT="2026-03-30T12:34:34.79" personId="{61D7275D-F1C0-48EB-8F1F-02F99D55C18F}" id="{411BA76D-1017-482C-82ED-92234C933698}">
    <text>multiply by individual lifecycle costs and add up to calculate total impacts see column on right for estimates from NIH paper</text>
  </threadedComment>
  <threadedComment ref="H9" dT="2026-03-30T20:11:43.22" personId="{61D7275D-F1C0-48EB-8F1F-02F99D55C18F}" id="{D83C0AA6-73FF-4A23-8B93-617D06A181BB}">
    <text>Environment Agency UK</text>
  </threadedComment>
  <threadedComment ref="H9" dT="2026-03-30T20:32:19.72" personId="{61D7275D-F1C0-48EB-8F1F-02F99D55C18F}" id="{4496633C-49A9-4E39-8FEA-E15254940805}" parentId="{D83C0AA6-73FF-4A23-8B93-617D06A181BB}">
    <text>.04 metric tons of CO2 per 1500 bags</text>
  </threadedComment>
  <threadedComment ref="J9" dT="2026-03-30T19:24:27.30" personId="{61D7275D-F1C0-48EB-8F1F-02F99D55C18F}" id="{BEC29DC7-4D1A-4DDB-BD0C-1C966FDA7833}">
    <text>Greene 2011</text>
  </threadedComment>
  <threadedComment ref="K9" dT="2026-03-30T19:22:30.80" personId="{61D7275D-F1C0-48EB-8F1F-02F99D55C18F}" id="{E27A5A54-4DA9-465F-94A9-CE4A2240601E}">
    <text xml:space="preserve">EPA 2023; Kopits et al. 2025 </text>
  </threadedComment>
  <threadedComment ref="H11" dT="2026-03-30T19:23:32.33" personId="{61D7275D-F1C0-48EB-8F1F-02F99D55C18F}" id="{65D95500-E4C9-4FEA-AB60-6BD2F2C4CDB6}">
    <text xml:space="preserve">Processes 2021, 9, 1007 </text>
  </threadedComment>
  <threadedComment ref="J11" dT="2026-03-30T18:08:22.55" personId="{61D7275D-F1C0-48EB-8F1F-02F99D55C18F}" id="{B945D871-2D70-404A-928B-37509B7445A8}">
    <text>Based on 28 gallons of water per pound of plastic times .5 grams weight of a PP straw</text>
  </threadedComment>
  <threadedComment ref="K11" dT="2026-03-30T19:22:22.64" personId="{61D7275D-F1C0-48EB-8F1F-02F99D55C18F}" id="{7CBBD8AE-EDFC-4284-BEA2-0B921C6C78DA}">
    <text xml:space="preserve">EPA 2023; Kopits et al. 2025 </text>
  </threadedComment>
  <threadedComment ref="H13" dT="2026-03-30T19:23:42.09" personId="{61D7275D-F1C0-48EB-8F1F-02F99D55C18F}" id="{1E6CA74D-5EB4-43A0-BCBE-AA7F95C665FB}">
    <text xml:space="preserve">Processes 2021, 9, 1007 </text>
  </threadedComment>
  <threadedComment ref="J13" dT="2026-03-30T18:11:51.57" personId="{61D7275D-F1C0-48EB-8F1F-02F99D55C18F}" id="{120131AC-130C-49D2-A22D-E19FF3491C33}">
    <text>20.54 gallons per pd of PP times weight divide by 80-100 pieces per pound of plastic</text>
  </threadedComment>
  <threadedComment ref="K13" dT="2026-03-30T19:22:08.09" personId="{61D7275D-F1C0-48EB-8F1F-02F99D55C18F}" id="{84BCFC84-4A8D-4C43-8939-9C14DE94A3B6}">
    <text xml:space="preserve">EPA 2023; Kopits et al. 2025 </text>
  </threadedComment>
</ThreadedComments>
</file>

<file path=xl/threadedComments/threadedComment2.xml><?xml version="1.0" encoding="utf-8"?>
<ThreadedComments xmlns="http://schemas.microsoft.com/office/spreadsheetml/2018/threadedcomments" xmlns:x="http://schemas.openxmlformats.org/spreadsheetml/2006/main">
  <threadedComment ref="A6" dT="2026-04-10T13:28:03.85" personId="{8494952F-CB1F-458A-A231-0A8E2A693964}" id="{26348E70-D20F-4283-AC41-5890CAB86C17}">
    <text>Since the calculator is trying to get at the benefits, let’s phrase the columns that way. For example, this one would be the Number of plants grown bare root as opposed to in containers.</text>
  </threadedComment>
  <threadedComment ref="G6" dT="2026-04-10T13:29:16.64" personId="{8494952F-CB1F-458A-A231-0A8E2A693964}" id="{18A5281B-5298-4690-93DC-5A7339BEB767}">
    <text>Suggest just having this as the Amount of Plastic avoided to focus the result as the benefit calculation. Similar comment for the headings to the right that currently include the consumed/avoided wording.</text>
  </threadedComment>
  <threadedComment ref="M6" dT="2026-04-10T13:15:48.89" personId="{8494952F-CB1F-458A-A231-0A8E2A693964}" id="{C8AABE57-E22F-490D-84CD-ABB6EDE455C8}">
    <text>It looks like the CO2 is based on whether you are using a recycled vs not recycled plastic for the container. Just checking if that is what you meant. If so, for the calculator purposes, it might  be good to add an input upfront next to the # containers entry for what % of containers used are recycled. Then set up the formula to calculate the amount of CO2 based on that breakdown of recycled/nonrecycled plastic containers. 
One other thing - this looks like kg CO2, but for EPA purposes they want the metric tons - see the conversion in the plastic ramblings tab.</text>
  </threadedComment>
  <threadedComment ref="A15" dT="2026-04-10T13:19:27.82" personId="{8494952F-CB1F-458A-A231-0A8E2A693964}" id="{9E4816EA-9F76-4D57-AE52-E5EF0E0236AC}">
    <text>For the purposes of the general calculator being developed, we probably don’t need a space to enter the nursery name.</text>
  </threadedComment>
  <threadedComment ref="B15" dT="2026-04-10T13:22:36.45" personId="{8494952F-CB1F-458A-A231-0A8E2A693964}" id="{EFADC8F6-900F-4705-8983-E38253A16F7E}">
    <text>So it’s a little more clear, we are asking for the travel distance saved when using a native plant nursery compared to a conventional nursery. Maybe reword to something like: Round-trip distance between the native plant nursery and the nearest conventional nursery that would otherwise be used</text>
  </threadedComment>
  <threadedComment ref="F15" dT="2026-04-10T13:26:24.65" personId="{8494952F-CB1F-458A-A231-0A8E2A693964}" id="{2A7B5128-D728-4E3E-B532-732C04A68243}">
    <text>Same comment as above about making sure we calculate metric tons CO2. Also suggest labeling this as the Emissions avoided</text>
  </threadedComment>
</ThreadedComments>
</file>

<file path=xl/threadedComments/threadedComment3.xml><?xml version="1.0" encoding="utf-8"?>
<ThreadedComments xmlns="http://schemas.microsoft.com/office/spreadsheetml/2018/threadedcomments" xmlns:x="http://schemas.openxmlformats.org/spreadsheetml/2006/main">
  <threadedComment ref="A7" dT="2026-04-10T15:34:58.23" personId="{8494952F-CB1F-458A-A231-0A8E2A693964}" id="{D174D674-0BC0-40CE-A64D-D6B14CF7EEE2}">
    <text xml:space="preserve">Is the spreadsheet something that is easily available that Claude may be able to reference? </text>
  </threadedComment>
  <threadedComment ref="A9" dT="2026-04-10T15:37:01.61" personId="{8494952F-CB1F-458A-A231-0A8E2A693964}" id="{5363B5F8-BE60-483A-BA62-FCA65472F3FF}">
    <text>Ask Sami about how we might be able to integrate the use of outside calculators into our tool. For example, do we just include a link to the other calculator and then ask people to enter the result into our tool? If it’s simple enough that we are only using a handful of calculations from the LEED calculator, we can just include those calculations in our tool and then include a reference to LEED for where the assumptions came from.</text>
  </threadedComment>
  <threadedComment ref="B13" dT="2026-04-10T15:45:16.07" personId="{8494952F-CB1F-458A-A231-0A8E2A693964}" id="{D2634497-92CA-4EA4-8A69-19ABF50AE365}">
    <text>Should this be the same number that is in F26</text>
  </threadedComment>
  <threadedComment ref="A22" dT="2026-04-10T15:51:14.66" personId="{8494952F-CB1F-458A-A231-0A8E2A693964}" id="{2E4C0847-8D6D-4AE0-990B-86ACAC2F8756}">
    <text>I’m wondering if we should include this table to calculate the landscaped area or just have them enter their landscaped area.  Is there a benefit to having the area by plant type? If so, our calculator will either need to include a more comprehensive list of plant types or reference the Classy Plant calculator tool to get the input.</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6-04-10T15:55:21.36" personId="{8494952F-CB1F-458A-A231-0A8E2A693964}" id="{E423C854-BBD9-42BA-B114-D1B785513B1D}">
    <text>Is this for comparison of fertilizer application to native vs non-native plants? If it’s for native plants, do you have the application rate for non-natives so you can subtract the two to know what the difference is?</text>
  </threadedComment>
  <threadedComment ref="A10" dT="2026-04-10T15:52:02.66" personId="{8494952F-CB1F-458A-A231-0A8E2A693964}" id="{894A7389-3F9C-4ED9-B034-1F7619320212}">
    <text>Section of primary soil type should be one of the inputs for the calculator.</text>
  </threadedComment>
  <threadedComment ref="F21" dT="2026-04-10T15:56:21.61" personId="{8494952F-CB1F-458A-A231-0A8E2A693964}" id="{2C78AD15-3550-4469-AC95-8ACD73B56231}">
    <text>Same as comments on other tabs about rephrasing to amount avoided only so it’s focused on the benefit.</text>
  </threadedComment>
  <threadedComment ref="B37" dT="2026-04-10T15:58:23.76" personId="{8494952F-CB1F-458A-A231-0A8E2A693964}" id="{1E667189-AF37-4CFA-BC7C-67251246A468}">
    <text>Similar comment as above - are these calculations for native plant nurseries and if so do you have a rate for non-native nurseries that can be subtracted to know what the benefit is?</text>
  </threadedComment>
</ThreadedComments>
</file>

<file path=xl/threadedComments/threadedComment5.xml><?xml version="1.0" encoding="utf-8"?>
<ThreadedComments xmlns="http://schemas.microsoft.com/office/spreadsheetml/2018/threadedcomments" xmlns:x="http://schemas.openxmlformats.org/spreadsheetml/2006/main">
  <threadedComment ref="B26" dT="2026-04-10T16:06:06.47" personId="{E12B1516-395A-421E-B532-067155AAFD98}" id="{DCD332B5-CF25-4A3E-B2EB-D1CB2B9E592A}">
    <text>@Lisa Fraley-McNeal I thought we could use this calculator to show how progressing with a Green Fleet policy could reduce hydrocarbon pollution, but there are additional variables like fuel efficiency and miles driven that change annually in the reported data, and is making an assumption on fuel economy something that can be done? Kingston does have their data split into vehicle class (light, medium, heavy duty)</text>
    <mentions>
      <mention mentionpersonId="{DAF2EDBB-CA05-4AEB-BC2E-4283DCBA7576}" mentionId="{F1059E59-D97A-4857-9189-77B91C0A925D}" startIndex="0" length="19"/>
    </mentions>
  </threadedComment>
  <threadedComment ref="B26" dT="2026-04-10T17:17:58.10" personId="{8494952F-CB1F-458A-A231-0A8E2A693964}" id="{CE65BE56-6EDA-4A31-87ED-D77BD22DC2A8}" parentId="{DCD332B5-CF25-4A3E-B2EB-D1CB2B9E592A}">
    <text>Does the data change substantially? Maybe we can figure out an average across however many years they have reported. I’m thinking like the average miles driven per year by the general category of vehicle class?</text>
  </threadedComment>
  <threadedComment ref="B26" dT="2026-04-10T17:23:24.88" personId="{E12B1516-395A-421E-B532-067155AAFD98}" id="{283B8C41-6B6B-4377-ADD3-A1D1D4A221EA}" parentId="{DCD332B5-CF25-4A3E-B2EB-D1CB2B9E592A}">
    <text>2026_Municipal_Vehicle_Fleet_Report.pdf  on page 8- we could try to get an average of gasoline use looking at the chart provided. Page 9 also has a chart showing annual records of diesel use.</text>
    <extLst>
      <x:ext xmlns:xltc2="http://schemas.microsoft.com/office/spreadsheetml/2020/threadedcomments2" uri="{F7C98A9C-CBB3-438F-8F68-D28B6AF4A901}">
        <xltc2:checksum>3190241281</xltc2:checksum>
        <xltc2:hyperlink startIndex="0" length="39" url="https://kingston-ny.gov/filestorage/8399/22301/22342/2026_Municipal_Vehicle_Fleet_Report.pdf"/>
      </x:ext>
    </extLst>
  </threadedComment>
  <threadedComment ref="B26" dT="2026-04-10T17:25:20.84" personId="{E12B1516-395A-421E-B532-067155AAFD98}" id="{B422887F-A099-41AC-BF11-D9D6EFA4EC1C}" parentId="{DCD332B5-CF25-4A3E-B2EB-D1CB2B9E592A}">
    <text>I still cant really narrow down use by vehicle, but we can do a simple division equation and figure that if 1000 gallons are used per year and they own 10 vehicles, we can just assume 100 gallons per vehicle</text>
  </threadedComment>
  <threadedComment ref="B26" dT="2026-04-10T17:37:53.26" personId="{8494952F-CB1F-458A-A231-0A8E2A693964}" id="{50A78A6C-629C-46D6-8B33-D9A7F10B35AD}" parentId="{DCD332B5-CF25-4A3E-B2EB-D1CB2B9E592A}">
    <text>I think that’s a good plan and probably the best we’ll be able to come up with based on the data.</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mass.gov/doc/commercial-battery-powered-electric-lawn-and-garden-equipment-calculator/download" TargetMode="External"/><Relationship Id="rId13" Type="http://schemas.openxmlformats.org/officeDocument/2006/relationships/printerSettings" Target="../printerSettings/printerSettings1.bin"/><Relationship Id="rId3" Type="http://schemas.openxmlformats.org/officeDocument/2006/relationships/hyperlink" Target="https://www.epa.gov/system/files/other-files/2022-11/P2_Cost_Calculator_29November2022.xlsm" TargetMode="External"/><Relationship Id="rId7" Type="http://schemas.openxmlformats.org/officeDocument/2006/relationships/hyperlink" Target="https://www.thecirculateinitiative.org/plastic-lifecycle-assessment-calculator-for-the-environment-and-society/" TargetMode="External"/><Relationship Id="rId12" Type="http://schemas.openxmlformats.org/officeDocument/2006/relationships/hyperlink" Target="https://www.usgbc.org/resources/leed-v4-outdoor-water-use-reduction-calculator" TargetMode="External"/><Relationship Id="rId2" Type="http://schemas.openxmlformats.org/officeDocument/2006/relationships/hyperlink" Target="https://www.epa.gov/system/files/other-files/2022-11/P2_GHG_Calculator_29November2022.xlsm" TargetMode="External"/><Relationship Id="rId1" Type="http://schemas.openxmlformats.org/officeDocument/2006/relationships/hyperlink" Target="https://www.epa.gov/system/files/other-files/2022-11/P2%20Calculator%20for%20Reductions%20in%20Haz%20Subs%20and%20Pollutants_29November2022.xlsm" TargetMode="External"/><Relationship Id="rId6" Type="http://schemas.openxmlformats.org/officeDocument/2006/relationships/hyperlink" Target="https://atlaspolicy.com/dashboard-for-rapid-vehicle-electrification-drve/" TargetMode="External"/><Relationship Id="rId11" Type="http://schemas.openxmlformats.org/officeDocument/2006/relationships/hyperlink" Target="https://www.epa.gov/waste-reduction-model/versions-waste-reduction-model" TargetMode="External"/><Relationship Id="rId5" Type="http://schemas.openxmlformats.org/officeDocument/2006/relationships/hyperlink" Target="https://afleet.esia.anl.gov/home/" TargetMode="External"/><Relationship Id="rId10" Type="http://schemas.openxmlformats.org/officeDocument/2006/relationships/hyperlink" Target="https://rais.ornl.gov/cgi-bin/PAH_RPF/pahs.php" TargetMode="External"/><Relationship Id="rId4" Type="http://schemas.openxmlformats.org/officeDocument/2006/relationships/hyperlink" Target="https://afdc.energy.gov/prep/" TargetMode="External"/><Relationship Id="rId9" Type="http://schemas.openxmlformats.org/officeDocument/2006/relationships/hyperlink" Target="http://www.responsiblepurchasing.org/purchasing_guides/bottled_water/calculator/"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usgbc.org/resources/leed-v4-outdoor-water-use-reduction-calculator" TargetMode="Externa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classygroundcovers.com/site/page?view=plantCalculator&amp;srsltid=AfmBOooFOS8F4YBkYDH_mm0Cm-cwRTrocZlTrV7rOwMSmDVr2PADDWKJ" TargetMode="Externa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hyperlink" Target="https://www.eeer.org/journal/view.php?number=1655" TargetMode="External"/><Relationship Id="rId2" Type="http://schemas.openxmlformats.org/officeDocument/2006/relationships/hyperlink" Target="https://nems.nih.gov/Documents/PETWaterBottlesEnvironmentalImpact.pdf" TargetMode="External"/><Relationship Id="rId1" Type="http://schemas.openxmlformats.org/officeDocument/2006/relationships/hyperlink" Target="https://des.wa.gov/sites/default/files/2022-06/green_purchasing.pdf" TargetMode="External"/><Relationship Id="rId6" Type="http://schemas.openxmlformats.org/officeDocument/2006/relationships/table" Target="../tables/table2.xml"/><Relationship Id="rId5" Type="http://schemas.openxmlformats.org/officeDocument/2006/relationships/printerSettings" Target="../printerSettings/printerSettings2.bin"/><Relationship Id="rId4" Type="http://schemas.openxmlformats.org/officeDocument/2006/relationships/hyperlink" Target="https://www.sciencedirect.com/science/article/pii/S09213449210011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3021-9C33-460D-8BE0-5890EFF6F8BA}">
  <dimension ref="A1:L17"/>
  <sheetViews>
    <sheetView workbookViewId="0">
      <pane ySplit="1" topLeftCell="A2" activePane="bottomLeft" state="frozen"/>
      <selection activeCell="B1" sqref="B1"/>
      <selection pane="bottomLeft" activeCell="L3" sqref="L3"/>
    </sheetView>
  </sheetViews>
  <sheetFormatPr defaultRowHeight="15" x14ac:dyDescent="0.25"/>
  <cols>
    <col min="1" max="1" width="36.5703125" customWidth="1"/>
    <col min="2" max="2" width="17.7109375" customWidth="1"/>
    <col min="3" max="3" width="43.7109375" customWidth="1"/>
    <col min="4" max="4" width="15.28515625" customWidth="1"/>
    <col min="5" max="5" width="20.85546875" customWidth="1"/>
    <col min="6" max="6" width="33.42578125" customWidth="1"/>
    <col min="7" max="7" width="32.140625" style="3" customWidth="1"/>
    <col min="8" max="8" width="26.85546875" style="3" customWidth="1"/>
    <col min="9" max="9" width="22.42578125" style="3" customWidth="1"/>
    <col min="10" max="10" width="19.140625" style="3" customWidth="1"/>
    <col min="11" max="11" width="22" customWidth="1"/>
    <col min="12" max="12" width="45.7109375" customWidth="1"/>
  </cols>
  <sheetData>
    <row r="1" spans="1:12" s="1" customFormat="1" ht="45" x14ac:dyDescent="0.25">
      <c r="A1" s="1" t="s">
        <v>0</v>
      </c>
      <c r="B1" s="1" t="s">
        <v>1</v>
      </c>
      <c r="C1" s="1" t="s">
        <v>2</v>
      </c>
      <c r="D1" s="1" t="s">
        <v>3</v>
      </c>
      <c r="E1" s="1" t="s">
        <v>4</v>
      </c>
      <c r="F1" s="1" t="s">
        <v>5</v>
      </c>
      <c r="G1" s="4" t="s">
        <v>6</v>
      </c>
      <c r="H1" s="4" t="s">
        <v>7</v>
      </c>
      <c r="I1" s="4" t="s">
        <v>8</v>
      </c>
      <c r="J1" s="4" t="s">
        <v>9</v>
      </c>
      <c r="K1" s="1" t="s">
        <v>10</v>
      </c>
      <c r="L1" s="1" t="s">
        <v>11</v>
      </c>
    </row>
    <row r="2" spans="1:12" s="1" customFormat="1" ht="112.5" customHeight="1" x14ac:dyDescent="0.25">
      <c r="A2" s="1" t="s">
        <v>12</v>
      </c>
      <c r="B2" s="1" t="s">
        <v>13</v>
      </c>
      <c r="C2" s="5" t="s">
        <v>14</v>
      </c>
      <c r="D2" s="1" t="s">
        <v>15</v>
      </c>
      <c r="E2" s="1" t="s">
        <v>16</v>
      </c>
      <c r="F2" s="1" t="s">
        <v>17</v>
      </c>
      <c r="G2" s="2" t="s">
        <v>18</v>
      </c>
      <c r="H2" s="2"/>
      <c r="I2" s="2"/>
      <c r="J2" s="2"/>
      <c r="L2" s="1" t="s">
        <v>19</v>
      </c>
    </row>
    <row r="3" spans="1:12" s="1" customFormat="1" ht="90" x14ac:dyDescent="0.25">
      <c r="A3" s="1" t="s">
        <v>20</v>
      </c>
      <c r="B3" s="1" t="s">
        <v>13</v>
      </c>
      <c r="C3" s="5" t="s">
        <v>21</v>
      </c>
      <c r="D3" s="1" t="s">
        <v>15</v>
      </c>
      <c r="E3" s="1" t="s">
        <v>22</v>
      </c>
      <c r="F3" s="1" t="s">
        <v>23</v>
      </c>
      <c r="G3" s="2"/>
      <c r="H3" s="2" t="s">
        <v>24</v>
      </c>
      <c r="I3" s="2"/>
      <c r="J3" s="2"/>
      <c r="L3" s="1" t="s">
        <v>25</v>
      </c>
    </row>
    <row r="4" spans="1:12" s="1" customFormat="1" ht="63" customHeight="1" x14ac:dyDescent="0.25">
      <c r="A4" s="1" t="s">
        <v>26</v>
      </c>
      <c r="B4" s="1" t="s">
        <v>13</v>
      </c>
      <c r="C4" s="5" t="s">
        <v>27</v>
      </c>
      <c r="D4" s="1" t="s">
        <v>15</v>
      </c>
      <c r="E4" s="1" t="s">
        <v>28</v>
      </c>
      <c r="F4" s="1" t="s">
        <v>29</v>
      </c>
      <c r="G4" s="2"/>
      <c r="H4" s="2"/>
      <c r="I4" s="2"/>
      <c r="J4" s="2" t="s">
        <v>24</v>
      </c>
      <c r="L4" s="1" t="s">
        <v>30</v>
      </c>
    </row>
    <row r="5" spans="1:12" s="1" customFormat="1" ht="72" customHeight="1" x14ac:dyDescent="0.25">
      <c r="A5" s="1" t="s">
        <v>31</v>
      </c>
      <c r="B5" s="1" t="s">
        <v>32</v>
      </c>
      <c r="C5" s="5" t="s">
        <v>33</v>
      </c>
      <c r="D5" s="1" t="s">
        <v>15</v>
      </c>
      <c r="E5" s="1" t="s">
        <v>34</v>
      </c>
      <c r="F5" s="1" t="s">
        <v>35</v>
      </c>
      <c r="G5" s="2" t="s">
        <v>36</v>
      </c>
      <c r="H5" s="2" t="s">
        <v>24</v>
      </c>
      <c r="I5" s="2"/>
      <c r="J5" s="2" t="s">
        <v>24</v>
      </c>
      <c r="L5" s="1" t="s">
        <v>37</v>
      </c>
    </row>
    <row r="6" spans="1:12" s="1" customFormat="1" ht="75" x14ac:dyDescent="0.25">
      <c r="A6" s="1" t="s">
        <v>38</v>
      </c>
      <c r="B6" s="1" t="s">
        <v>32</v>
      </c>
      <c r="C6" s="5" t="s">
        <v>39</v>
      </c>
      <c r="D6" s="1" t="s">
        <v>15</v>
      </c>
      <c r="E6" s="1" t="s">
        <v>34</v>
      </c>
      <c r="F6" s="1" t="s">
        <v>35</v>
      </c>
      <c r="G6" s="2" t="s">
        <v>36</v>
      </c>
      <c r="H6" s="2" t="s">
        <v>24</v>
      </c>
      <c r="I6" s="2"/>
      <c r="J6" s="2" t="s">
        <v>24</v>
      </c>
      <c r="L6" s="1" t="s">
        <v>40</v>
      </c>
    </row>
    <row r="7" spans="1:12" s="1" customFormat="1" ht="45.75" customHeight="1" x14ac:dyDescent="0.25">
      <c r="A7" s="1" t="s">
        <v>41</v>
      </c>
      <c r="B7" s="1" t="s">
        <v>42</v>
      </c>
      <c r="D7" s="1" t="s">
        <v>43</v>
      </c>
      <c r="E7" s="1" t="s">
        <v>44</v>
      </c>
      <c r="F7" s="1" t="s">
        <v>45</v>
      </c>
      <c r="G7" s="2"/>
      <c r="H7" s="2"/>
      <c r="I7" s="2"/>
      <c r="J7" s="2"/>
      <c r="L7" s="1" t="s">
        <v>46</v>
      </c>
    </row>
    <row r="8" spans="1:12" s="1" customFormat="1" ht="45" x14ac:dyDescent="0.25">
      <c r="A8" s="1" t="s">
        <v>47</v>
      </c>
      <c r="B8" s="1" t="s">
        <v>42</v>
      </c>
      <c r="D8" s="1" t="s">
        <v>43</v>
      </c>
      <c r="E8" s="1" t="s">
        <v>34</v>
      </c>
      <c r="F8" s="1" t="s">
        <v>48</v>
      </c>
      <c r="G8" s="2"/>
      <c r="H8" s="2" t="s">
        <v>24</v>
      </c>
      <c r="I8" s="2"/>
      <c r="J8" s="2"/>
      <c r="L8" s="1" t="s">
        <v>49</v>
      </c>
    </row>
    <row r="9" spans="1:12" ht="90" x14ac:dyDescent="0.25">
      <c r="A9" s="1" t="s">
        <v>50</v>
      </c>
      <c r="B9" s="1" t="s">
        <v>51</v>
      </c>
      <c r="C9" s="5" t="s">
        <v>52</v>
      </c>
      <c r="D9" s="1" t="s">
        <v>15</v>
      </c>
      <c r="E9" s="1" t="s">
        <v>34</v>
      </c>
      <c r="F9" s="1" t="s">
        <v>53</v>
      </c>
      <c r="G9" s="2"/>
      <c r="H9" s="2" t="s">
        <v>24</v>
      </c>
      <c r="I9" s="2"/>
      <c r="J9" s="2" t="s">
        <v>24</v>
      </c>
      <c r="K9" s="1"/>
      <c r="L9" s="1" t="s">
        <v>54</v>
      </c>
    </row>
    <row r="10" spans="1:12" ht="60" x14ac:dyDescent="0.25">
      <c r="A10" s="1" t="s">
        <v>55</v>
      </c>
      <c r="B10" s="1" t="s">
        <v>56</v>
      </c>
      <c r="C10" s="5" t="s">
        <v>57</v>
      </c>
      <c r="D10" s="1" t="s">
        <v>58</v>
      </c>
      <c r="E10" s="1" t="s">
        <v>59</v>
      </c>
      <c r="F10" s="1" t="s">
        <v>60</v>
      </c>
      <c r="G10" s="2"/>
      <c r="H10" s="2" t="s">
        <v>24</v>
      </c>
      <c r="I10" s="2" t="s">
        <v>24</v>
      </c>
      <c r="J10" s="2"/>
      <c r="K10" s="1"/>
      <c r="L10" s="1" t="s">
        <v>61</v>
      </c>
    </row>
    <row r="11" spans="1:12" ht="84.6" customHeight="1" x14ac:dyDescent="0.25">
      <c r="A11" s="1" t="s">
        <v>62</v>
      </c>
      <c r="B11" s="1" t="s">
        <v>63</v>
      </c>
      <c r="C11" s="5" t="s">
        <v>64</v>
      </c>
      <c r="D11" s="1" t="s">
        <v>65</v>
      </c>
      <c r="E11" s="1" t="s">
        <v>66</v>
      </c>
      <c r="F11" s="1" t="s">
        <v>67</v>
      </c>
      <c r="G11" s="2" t="s">
        <v>24</v>
      </c>
      <c r="H11" s="2" t="s">
        <v>24</v>
      </c>
      <c r="I11" s="2"/>
      <c r="J11" s="2" t="s">
        <v>24</v>
      </c>
      <c r="K11" s="1" t="s">
        <v>68</v>
      </c>
      <c r="L11" s="1" t="s">
        <v>69</v>
      </c>
    </row>
    <row r="12" spans="1:12" ht="105" x14ac:dyDescent="0.25">
      <c r="A12" s="1" t="s">
        <v>70</v>
      </c>
      <c r="B12" s="1" t="s">
        <v>71</v>
      </c>
      <c r="C12" s="5" t="s">
        <v>72</v>
      </c>
      <c r="D12" s="1" t="s">
        <v>15</v>
      </c>
      <c r="E12" s="1" t="s">
        <v>73</v>
      </c>
      <c r="F12" s="1" t="s">
        <v>74</v>
      </c>
      <c r="G12" s="2" t="s">
        <v>24</v>
      </c>
      <c r="H12" s="2" t="s">
        <v>24</v>
      </c>
      <c r="I12" s="2" t="s">
        <v>24</v>
      </c>
      <c r="J12" s="2" t="s">
        <v>24</v>
      </c>
      <c r="K12" s="1" t="s">
        <v>75</v>
      </c>
      <c r="L12" s="1" t="s">
        <v>76</v>
      </c>
    </row>
    <row r="14" spans="1:12" x14ac:dyDescent="0.25">
      <c r="A14" t="s">
        <v>77</v>
      </c>
      <c r="B14" t="s">
        <v>78</v>
      </c>
      <c r="C14" s="7" t="s">
        <v>79</v>
      </c>
    </row>
    <row r="15" spans="1:12" x14ac:dyDescent="0.25">
      <c r="A15" t="s">
        <v>80</v>
      </c>
      <c r="B15" t="s">
        <v>81</v>
      </c>
      <c r="C15" s="7" t="s">
        <v>82</v>
      </c>
    </row>
    <row r="16" spans="1:12" ht="150" x14ac:dyDescent="0.25">
      <c r="A16" t="s">
        <v>108</v>
      </c>
      <c r="B16" t="s">
        <v>109</v>
      </c>
      <c r="C16" s="7" t="s">
        <v>110</v>
      </c>
      <c r="D16" t="s">
        <v>15</v>
      </c>
      <c r="E16" t="s">
        <v>111</v>
      </c>
      <c r="F16" t="s">
        <v>112</v>
      </c>
      <c r="I16" s="3" t="s">
        <v>24</v>
      </c>
      <c r="K16" t="s">
        <v>113</v>
      </c>
      <c r="L16" s="1" t="s">
        <v>114</v>
      </c>
    </row>
    <row r="17" spans="1:12" ht="165" x14ac:dyDescent="0.25">
      <c r="A17" t="s">
        <v>141</v>
      </c>
      <c r="B17" t="s">
        <v>142</v>
      </c>
      <c r="C17" t="s">
        <v>143</v>
      </c>
      <c r="D17" t="s">
        <v>15</v>
      </c>
      <c r="E17" t="s">
        <v>144</v>
      </c>
      <c r="F17" t="s">
        <v>145</v>
      </c>
      <c r="I17" s="3" t="s">
        <v>24</v>
      </c>
      <c r="K17" t="s">
        <v>113</v>
      </c>
      <c r="L17" s="1" t="s">
        <v>146</v>
      </c>
    </row>
  </sheetData>
  <hyperlinks>
    <hyperlink ref="C2" r:id="rId1" xr:uid="{773DBDE1-223E-4320-B161-E16204A1A75F}"/>
    <hyperlink ref="C3" r:id="rId2" xr:uid="{CB8E2242-1ECB-4F51-901F-081F28D93E60}"/>
    <hyperlink ref="C4" r:id="rId3" xr:uid="{52EB36E1-CD2A-49CB-8886-FB663F70A40D}"/>
    <hyperlink ref="C5" r:id="rId4" xr:uid="{A3C8948F-81FC-4826-B065-0FF64998E53C}"/>
    <hyperlink ref="C6" r:id="rId5" xr:uid="{B85E009C-E399-43E3-9C78-DA58C0E2F06A}"/>
    <hyperlink ref="C9" r:id="rId6" xr:uid="{914350EC-C5DE-42FB-ADE4-D9E212BE60B9}"/>
    <hyperlink ref="C10" r:id="rId7" xr:uid="{5B412F5B-1BB1-4F09-897F-036FD4CE1A08}"/>
    <hyperlink ref="C11" r:id="rId8" xr:uid="{2B13CA06-4DD8-449E-82E4-AB02BFFD2C23}"/>
    <hyperlink ref="C12" r:id="rId9" xr:uid="{2003BBDD-457C-457C-AC8C-37CC6C339FE8}"/>
    <hyperlink ref="C15" r:id="rId10" display="https://rais.ornl.gov/cgi-bin/PAH_RPF/pahs.php" xr:uid="{8C7BA94C-EBF3-4F0F-9E30-6D279E87E746}"/>
    <hyperlink ref="C14" r:id="rId11" location="v16" xr:uid="{7197292E-0AB6-42D6-8143-526FA99401BC}"/>
    <hyperlink ref="C16" r:id="rId12" xr:uid="{EF2BC949-1545-4553-BAD4-10D8BEE7AE52}"/>
  </hyperlinks>
  <pageMargins left="0.7" right="0.7" top="0.75" bottom="0.75" header="0.3" footer="0.3"/>
  <pageSetup orientation="portrait" r:id="rId13"/>
  <tableParts count="1">
    <tablePart r:id="rId1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6AD28-4BCE-4F8E-8D4A-6F38F1B1E2C7}">
  <dimension ref="A2:N19"/>
  <sheetViews>
    <sheetView zoomScale="55" zoomScaleNormal="55" workbookViewId="0">
      <selection activeCell="M6" sqref="M6"/>
    </sheetView>
  </sheetViews>
  <sheetFormatPr defaultRowHeight="15" x14ac:dyDescent="0.25"/>
  <cols>
    <col min="2" max="2" width="17" customWidth="1"/>
    <col min="4" max="4" width="19.5703125" customWidth="1"/>
    <col min="5" max="5" width="11.5703125" customWidth="1"/>
    <col min="6" max="7" width="19.28515625" customWidth="1"/>
    <col min="8" max="8" width="15.28515625" customWidth="1"/>
    <col min="9" max="9" width="22.140625" customWidth="1"/>
    <col min="10" max="10" width="11.28515625" customWidth="1"/>
    <col min="11" max="11" width="20.85546875" customWidth="1"/>
    <col min="12" max="12" width="29.85546875" customWidth="1"/>
    <col min="13" max="13" width="14.5703125" customWidth="1"/>
  </cols>
  <sheetData>
    <row r="2" spans="1:14" x14ac:dyDescent="0.25">
      <c r="B2" t="s">
        <v>92</v>
      </c>
    </row>
    <row r="3" spans="1:14" x14ac:dyDescent="0.25">
      <c r="B3" t="s">
        <v>121</v>
      </c>
      <c r="H3" s="35" t="s">
        <v>136</v>
      </c>
      <c r="I3" s="35"/>
      <c r="J3" s="35"/>
    </row>
    <row r="4" spans="1:14" ht="60" x14ac:dyDescent="0.25">
      <c r="B4" s="11" t="s">
        <v>147</v>
      </c>
      <c r="C4" s="11"/>
      <c r="D4" s="11" t="s">
        <v>115</v>
      </c>
      <c r="E4" s="11" t="s">
        <v>117</v>
      </c>
      <c r="F4" s="11" t="s">
        <v>118</v>
      </c>
      <c r="G4" s="11" t="s">
        <v>132</v>
      </c>
      <c r="H4" s="12" t="s">
        <v>149</v>
      </c>
      <c r="I4" s="12" t="s">
        <v>138</v>
      </c>
      <c r="J4" s="12" t="s">
        <v>134</v>
      </c>
      <c r="K4" s="12" t="s">
        <v>135</v>
      </c>
      <c r="L4" s="12" t="s">
        <v>148</v>
      </c>
      <c r="M4" s="11" t="s">
        <v>152</v>
      </c>
    </row>
    <row r="5" spans="1:14" ht="124.5" customHeight="1" x14ac:dyDescent="0.25">
      <c r="A5" s="1" t="s">
        <v>153</v>
      </c>
      <c r="B5" s="1" t="s">
        <v>120</v>
      </c>
      <c r="C5" s="1" t="s">
        <v>24</v>
      </c>
      <c r="D5" s="1" t="s">
        <v>170</v>
      </c>
      <c r="E5" s="1" t="s">
        <v>116</v>
      </c>
      <c r="F5" s="1"/>
      <c r="H5" s="1" t="s">
        <v>133</v>
      </c>
      <c r="I5" s="1" t="s">
        <v>139</v>
      </c>
      <c r="J5" s="1" t="s">
        <v>129</v>
      </c>
      <c r="K5" s="1" t="s">
        <v>131</v>
      </c>
      <c r="L5" s="1" t="s">
        <v>150</v>
      </c>
      <c r="M5" s="1" t="s">
        <v>119</v>
      </c>
      <c r="N5" s="1" t="s">
        <v>125</v>
      </c>
    </row>
    <row r="6" spans="1:14" ht="75" x14ac:dyDescent="0.25">
      <c r="A6" s="9" t="s">
        <v>130</v>
      </c>
      <c r="B6" s="9">
        <v>269083</v>
      </c>
      <c r="C6" s="10"/>
      <c r="D6">
        <v>2507854</v>
      </c>
      <c r="E6" s="10"/>
      <c r="F6" s="10">
        <v>2508</v>
      </c>
      <c r="G6" s="9">
        <v>5529</v>
      </c>
      <c r="H6" s="10" t="s">
        <v>137</v>
      </c>
      <c r="I6" t="s">
        <v>140</v>
      </c>
      <c r="J6" s="10">
        <v>376716</v>
      </c>
      <c r="K6" s="10">
        <v>5382</v>
      </c>
      <c r="L6" s="1" t="s">
        <v>151</v>
      </c>
      <c r="M6" s="1" t="s">
        <v>122</v>
      </c>
      <c r="N6" s="1" t="s">
        <v>126</v>
      </c>
    </row>
    <row r="7" spans="1:14" ht="90" x14ac:dyDescent="0.25">
      <c r="A7" s="9"/>
      <c r="B7" s="9"/>
      <c r="C7" s="10"/>
      <c r="M7" s="1" t="s">
        <v>123</v>
      </c>
      <c r="N7" s="1" t="s">
        <v>127</v>
      </c>
    </row>
    <row r="8" spans="1:14" ht="48.75" customHeight="1" x14ac:dyDescent="0.25">
      <c r="G8" s="1"/>
      <c r="M8" t="s">
        <v>124</v>
      </c>
      <c r="N8" t="s">
        <v>128</v>
      </c>
    </row>
    <row r="9" spans="1:14" ht="120" x14ac:dyDescent="0.25">
      <c r="A9" s="1" t="s">
        <v>154</v>
      </c>
      <c r="B9" t="s">
        <v>155</v>
      </c>
      <c r="C9" t="s">
        <v>24</v>
      </c>
      <c r="D9" t="s">
        <v>171</v>
      </c>
      <c r="E9" s="1" t="s">
        <v>116</v>
      </c>
      <c r="F9" t="s">
        <v>157</v>
      </c>
      <c r="G9" t="s">
        <v>158</v>
      </c>
      <c r="H9" s="1" t="s">
        <v>156</v>
      </c>
      <c r="I9" s="1" t="s">
        <v>159</v>
      </c>
      <c r="J9" s="1" t="s">
        <v>175</v>
      </c>
      <c r="K9" s="1" t="s">
        <v>172</v>
      </c>
      <c r="L9" s="1"/>
    </row>
    <row r="11" spans="1:14" ht="90" x14ac:dyDescent="0.25">
      <c r="A11" s="1" t="s">
        <v>161</v>
      </c>
      <c r="B11" t="s">
        <v>162</v>
      </c>
      <c r="C11" t="s">
        <v>24</v>
      </c>
      <c r="D11" t="s">
        <v>160</v>
      </c>
      <c r="E11" s="1" t="s">
        <v>116</v>
      </c>
      <c r="F11" t="s">
        <v>157</v>
      </c>
      <c r="G11" t="s">
        <v>158</v>
      </c>
      <c r="H11" t="s">
        <v>165</v>
      </c>
      <c r="I11" s="1" t="s">
        <v>159</v>
      </c>
      <c r="J11" t="s">
        <v>167</v>
      </c>
      <c r="K11" s="1" t="s">
        <v>173</v>
      </c>
      <c r="L11" s="1"/>
    </row>
    <row r="12" spans="1:14" x14ac:dyDescent="0.25">
      <c r="K12" s="1"/>
    </row>
    <row r="13" spans="1:14" ht="105" x14ac:dyDescent="0.25">
      <c r="A13" s="1" t="s">
        <v>163</v>
      </c>
      <c r="B13" t="s">
        <v>166</v>
      </c>
      <c r="C13" t="s">
        <v>24</v>
      </c>
      <c r="D13" t="s">
        <v>169</v>
      </c>
      <c r="E13" s="1" t="s">
        <v>116</v>
      </c>
      <c r="F13" t="s">
        <v>157</v>
      </c>
      <c r="G13" t="s">
        <v>158</v>
      </c>
      <c r="H13" t="s">
        <v>164</v>
      </c>
      <c r="I13" s="1" t="s">
        <v>159</v>
      </c>
      <c r="J13" t="s">
        <v>168</v>
      </c>
      <c r="K13" s="1" t="s">
        <v>174</v>
      </c>
      <c r="L13" s="1"/>
    </row>
    <row r="16" spans="1:14" x14ac:dyDescent="0.25">
      <c r="H16" s="13"/>
    </row>
    <row r="17" spans="8:12" x14ac:dyDescent="0.25">
      <c r="L17" s="1"/>
    </row>
    <row r="18" spans="8:12" x14ac:dyDescent="0.25">
      <c r="H18" s="13"/>
      <c r="L18" s="1"/>
    </row>
    <row r="19" spans="8:12" x14ac:dyDescent="0.25">
      <c r="L19" s="1"/>
    </row>
  </sheetData>
  <mergeCells count="1">
    <mergeCell ref="H3:J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40AC2-2E54-4D21-B8B6-764B88FC0D89}">
  <dimension ref="A2:N18"/>
  <sheetViews>
    <sheetView workbookViewId="0">
      <selection activeCell="B5" sqref="B5"/>
    </sheetView>
  </sheetViews>
  <sheetFormatPr defaultRowHeight="15" x14ac:dyDescent="0.25"/>
  <cols>
    <col min="1" max="1" width="14.28515625" customWidth="1"/>
    <col min="2" max="2" width="18" customWidth="1"/>
    <col min="3" max="3" width="10.28515625" customWidth="1"/>
    <col min="4" max="6" width="16" customWidth="1"/>
    <col min="7" max="7" width="14.42578125" customWidth="1"/>
    <col min="8" max="8" width="15" customWidth="1"/>
    <col min="9" max="9" width="14.85546875" customWidth="1"/>
    <col min="10" max="10" width="16.42578125" customWidth="1"/>
    <col min="11" max="11" width="17.140625" customWidth="1"/>
    <col min="12" max="12" width="13.42578125" customWidth="1"/>
    <col min="13" max="13" width="18.42578125" customWidth="1"/>
    <col min="14" max="14" width="11.42578125" customWidth="1"/>
  </cols>
  <sheetData>
    <row r="2" spans="1:14" x14ac:dyDescent="0.25">
      <c r="B2" t="s">
        <v>176</v>
      </c>
    </row>
    <row r="4" spans="1:14" ht="15.75" thickBot="1" x14ac:dyDescent="0.3">
      <c r="B4" t="s">
        <v>228</v>
      </c>
    </row>
    <row r="5" spans="1:14" x14ac:dyDescent="0.25">
      <c r="A5" s="21"/>
      <c r="B5" s="22" t="s">
        <v>260</v>
      </c>
      <c r="C5" s="23"/>
      <c r="D5" s="23"/>
      <c r="E5" s="23"/>
      <c r="F5" s="23"/>
      <c r="G5" s="23"/>
      <c r="H5" s="23"/>
      <c r="I5" s="23"/>
      <c r="J5" s="23"/>
      <c r="K5" s="23"/>
      <c r="L5" s="23"/>
      <c r="M5" s="24"/>
    </row>
    <row r="6" spans="1:14" ht="60" x14ac:dyDescent="0.25">
      <c r="A6" s="27" t="s">
        <v>229</v>
      </c>
      <c r="B6" t="s">
        <v>230</v>
      </c>
      <c r="C6" t="s">
        <v>243</v>
      </c>
      <c r="D6" s="1" t="s">
        <v>242</v>
      </c>
      <c r="E6" s="1" t="s">
        <v>244</v>
      </c>
      <c r="F6" s="1" t="s">
        <v>245</v>
      </c>
      <c r="G6" s="1" t="s">
        <v>231</v>
      </c>
      <c r="H6" s="1" t="s">
        <v>232</v>
      </c>
      <c r="I6" s="1" t="s">
        <v>234</v>
      </c>
      <c r="J6" s="1" t="s">
        <v>235</v>
      </c>
      <c r="K6" s="1" t="s">
        <v>236</v>
      </c>
      <c r="L6" s="1" t="s">
        <v>240</v>
      </c>
      <c r="M6" s="26" t="s">
        <v>241</v>
      </c>
    </row>
    <row r="7" spans="1:14" x14ac:dyDescent="0.25">
      <c r="A7" s="32">
        <v>130</v>
      </c>
      <c r="B7" t="s">
        <v>230</v>
      </c>
      <c r="C7" t="s">
        <v>243</v>
      </c>
      <c r="D7">
        <v>2.67</v>
      </c>
      <c r="E7">
        <v>1</v>
      </c>
      <c r="F7" t="s">
        <v>245</v>
      </c>
      <c r="G7">
        <f>A7*(D7*E7)</f>
        <v>347.09999999999997</v>
      </c>
      <c r="H7" t="s">
        <v>233</v>
      </c>
      <c r="I7">
        <f>G7/35.274</f>
        <v>9.8401088620513679</v>
      </c>
      <c r="J7" t="s">
        <v>238</v>
      </c>
      <c r="K7" t="s">
        <v>239</v>
      </c>
      <c r="L7">
        <f>I7*1.92</f>
        <v>18.893009015138627</v>
      </c>
      <c r="M7" s="28">
        <f>I7*0.24</f>
        <v>2.3616261268923284</v>
      </c>
    </row>
    <row r="8" spans="1:14" x14ac:dyDescent="0.25">
      <c r="A8" s="33">
        <v>2500</v>
      </c>
      <c r="B8" t="s">
        <v>230</v>
      </c>
      <c r="C8" t="s">
        <v>243</v>
      </c>
      <c r="D8">
        <v>2.67</v>
      </c>
      <c r="E8">
        <v>1</v>
      </c>
      <c r="F8" t="s">
        <v>245</v>
      </c>
      <c r="G8">
        <f>A8*(D8*E8)</f>
        <v>6675</v>
      </c>
      <c r="H8" t="s">
        <v>233</v>
      </c>
      <c r="I8">
        <f>G8/35.274</f>
        <v>189.23286273175711</v>
      </c>
      <c r="J8" t="s">
        <v>238</v>
      </c>
      <c r="K8" t="s">
        <v>239</v>
      </c>
      <c r="L8">
        <f>I8*1.92</f>
        <v>363.32709644497362</v>
      </c>
      <c r="M8" s="28">
        <f>I8*0.24</f>
        <v>45.415887055621702</v>
      </c>
    </row>
    <row r="9" spans="1:14" ht="15.75" thickBot="1" x14ac:dyDescent="0.3">
      <c r="A9" s="34"/>
      <c r="B9" s="30"/>
      <c r="C9" s="30"/>
      <c r="D9" s="30"/>
      <c r="E9" s="30"/>
      <c r="F9" s="30"/>
      <c r="G9" s="30"/>
      <c r="H9" s="30"/>
      <c r="I9" s="30"/>
      <c r="J9" s="30"/>
      <c r="K9" s="30"/>
      <c r="L9" s="30"/>
      <c r="M9" s="31"/>
    </row>
    <row r="10" spans="1:14" x14ac:dyDescent="0.25">
      <c r="A10" t="s">
        <v>345</v>
      </c>
    </row>
    <row r="11" spans="1:14" x14ac:dyDescent="0.25">
      <c r="A11" t="s">
        <v>237</v>
      </c>
    </row>
    <row r="13" spans="1:14" ht="15.75" thickBot="1" x14ac:dyDescent="0.3"/>
    <row r="14" spans="1:14" x14ac:dyDescent="0.25">
      <c r="A14" s="21"/>
      <c r="B14" s="22" t="s">
        <v>261</v>
      </c>
      <c r="C14" s="23"/>
      <c r="D14" s="23"/>
      <c r="E14" s="23"/>
      <c r="F14" s="23"/>
      <c r="G14" s="23"/>
      <c r="H14" s="23"/>
      <c r="I14" s="23"/>
      <c r="J14" s="23"/>
      <c r="K14" s="23"/>
      <c r="L14" s="23"/>
      <c r="M14" s="23"/>
      <c r="N14" s="24"/>
    </row>
    <row r="15" spans="1:14" ht="90" x14ac:dyDescent="0.25">
      <c r="A15" s="25" t="s">
        <v>246</v>
      </c>
      <c r="B15" s="1" t="s">
        <v>313</v>
      </c>
      <c r="C15" s="1" t="s">
        <v>248</v>
      </c>
      <c r="D15" s="1" t="s">
        <v>255</v>
      </c>
      <c r="E15" s="1" t="s">
        <v>251</v>
      </c>
      <c r="F15" s="1" t="s">
        <v>257</v>
      </c>
      <c r="L15" s="1" t="s">
        <v>249</v>
      </c>
      <c r="M15" t="s">
        <v>250</v>
      </c>
      <c r="N15" s="26" t="s">
        <v>251</v>
      </c>
    </row>
    <row r="16" spans="1:14" ht="60" x14ac:dyDescent="0.25">
      <c r="A16" s="27" t="s">
        <v>247</v>
      </c>
      <c r="B16">
        <v>400</v>
      </c>
      <c r="C16">
        <v>1</v>
      </c>
      <c r="D16" s="1" t="s">
        <v>256</v>
      </c>
      <c r="E16" s="1" t="s">
        <v>258</v>
      </c>
      <c r="F16" s="1" t="s">
        <v>259</v>
      </c>
      <c r="L16" t="s">
        <v>252</v>
      </c>
      <c r="M16" t="s">
        <v>253</v>
      </c>
      <c r="N16" s="26" t="s">
        <v>254</v>
      </c>
    </row>
    <row r="17" spans="1:14" ht="45" x14ac:dyDescent="0.25">
      <c r="A17" s="27" t="s">
        <v>247</v>
      </c>
      <c r="B17">
        <v>400</v>
      </c>
      <c r="C17">
        <v>1</v>
      </c>
      <c r="N17" s="28"/>
    </row>
    <row r="18" spans="1:14" ht="60.75" thickBot="1" x14ac:dyDescent="0.3">
      <c r="A18" s="29" t="s">
        <v>262</v>
      </c>
      <c r="B18" s="30">
        <v>916</v>
      </c>
      <c r="C18" s="30">
        <v>1</v>
      </c>
      <c r="D18" s="30"/>
      <c r="E18" s="30"/>
      <c r="F18" s="30"/>
      <c r="G18" s="30"/>
      <c r="H18" s="30"/>
      <c r="I18" s="30"/>
      <c r="J18" s="30"/>
      <c r="K18" s="30"/>
      <c r="L18" s="30"/>
      <c r="M18" s="30"/>
      <c r="N18" s="3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EC3ED-38E2-4F7B-9F67-D546F2893F24}">
  <dimension ref="A2:N26"/>
  <sheetViews>
    <sheetView workbookViewId="0">
      <selection activeCell="I9" sqref="I9"/>
    </sheetView>
  </sheetViews>
  <sheetFormatPr defaultRowHeight="15" x14ac:dyDescent="0.25"/>
  <cols>
    <col min="1" max="1" width="13.85546875" customWidth="1"/>
    <col min="2" max="2" width="19.7109375" customWidth="1"/>
    <col min="3" max="3" width="13.28515625" customWidth="1"/>
    <col min="4" max="4" width="16.85546875" customWidth="1"/>
    <col min="5" max="5" width="12.5703125" customWidth="1"/>
    <col min="6" max="7" width="12.42578125" customWidth="1"/>
    <col min="8" max="8" width="13.28515625" customWidth="1"/>
    <col min="9" max="9" width="19.140625" customWidth="1"/>
    <col min="10" max="10" width="19.5703125" customWidth="1"/>
    <col min="11" max="11" width="16.85546875" customWidth="1"/>
  </cols>
  <sheetData>
    <row r="2" spans="1:14" x14ac:dyDescent="0.25">
      <c r="B2" t="s">
        <v>176</v>
      </c>
    </row>
    <row r="4" spans="1:14" x14ac:dyDescent="0.25">
      <c r="B4" t="s">
        <v>263</v>
      </c>
    </row>
    <row r="5" spans="1:14" x14ac:dyDescent="0.25">
      <c r="B5" s="6" t="s">
        <v>292</v>
      </c>
    </row>
    <row r="6" spans="1:14" x14ac:dyDescent="0.25">
      <c r="B6" s="6"/>
      <c r="I6" t="s">
        <v>388</v>
      </c>
    </row>
    <row r="7" spans="1:14" x14ac:dyDescent="0.25">
      <c r="A7" t="s">
        <v>314</v>
      </c>
      <c r="B7" s="6"/>
      <c r="I7" t="s">
        <v>389</v>
      </c>
      <c r="K7" t="s">
        <v>390</v>
      </c>
    </row>
    <row r="8" spans="1:14" x14ac:dyDescent="0.25">
      <c r="B8" t="s">
        <v>315</v>
      </c>
      <c r="I8" s="7" t="s">
        <v>110</v>
      </c>
    </row>
    <row r="9" spans="1:14" x14ac:dyDescent="0.25">
      <c r="A9" t="s">
        <v>316</v>
      </c>
    </row>
    <row r="10" spans="1:14" x14ac:dyDescent="0.25">
      <c r="B10" s="6"/>
    </row>
    <row r="11" spans="1:14" x14ac:dyDescent="0.25">
      <c r="B11" s="6"/>
    </row>
    <row r="12" spans="1:14" ht="222.75" customHeight="1" x14ac:dyDescent="0.25">
      <c r="A12" t="s">
        <v>276</v>
      </c>
      <c r="B12" s="1" t="s">
        <v>275</v>
      </c>
      <c r="C12" t="s">
        <v>277</v>
      </c>
      <c r="D12" t="s">
        <v>278</v>
      </c>
      <c r="E12" s="1" t="s">
        <v>280</v>
      </c>
      <c r="F12" s="1" t="s">
        <v>281</v>
      </c>
      <c r="G12" s="1" t="s">
        <v>282</v>
      </c>
      <c r="H12" s="1" t="s">
        <v>283</v>
      </c>
      <c r="I12" s="1" t="s">
        <v>288</v>
      </c>
      <c r="J12" s="1" t="s">
        <v>290</v>
      </c>
      <c r="K12" s="1" t="s">
        <v>289</v>
      </c>
      <c r="L12" s="1" t="s">
        <v>285</v>
      </c>
      <c r="M12" s="1" t="s">
        <v>287</v>
      </c>
      <c r="N12" s="1" t="s">
        <v>286</v>
      </c>
    </row>
    <row r="13" spans="1:14" x14ac:dyDescent="0.25">
      <c r="A13">
        <v>13655</v>
      </c>
      <c r="B13">
        <v>11947.5</v>
      </c>
      <c r="C13" t="s">
        <v>279</v>
      </c>
      <c r="D13" t="s">
        <v>279</v>
      </c>
      <c r="E13">
        <v>28423</v>
      </c>
      <c r="F13">
        <v>40604</v>
      </c>
      <c r="G13">
        <v>3.0225209999999998</v>
      </c>
      <c r="H13" t="s">
        <v>284</v>
      </c>
      <c r="I13">
        <v>20021</v>
      </c>
      <c r="K13">
        <v>0</v>
      </c>
      <c r="L13" s="16">
        <v>1</v>
      </c>
      <c r="M13">
        <f>E13-K13</f>
        <v>28423</v>
      </c>
      <c r="N13">
        <f>M13*12</f>
        <v>341076</v>
      </c>
    </row>
    <row r="15" spans="1:14" x14ac:dyDescent="0.25">
      <c r="A15" t="s">
        <v>291</v>
      </c>
    </row>
    <row r="21" spans="1:6" x14ac:dyDescent="0.25">
      <c r="B21" s="6" t="s">
        <v>274</v>
      </c>
    </row>
    <row r="22" spans="1:6" ht="105" x14ac:dyDescent="0.25">
      <c r="A22" s="1" t="s">
        <v>264</v>
      </c>
      <c r="B22" s="1" t="s">
        <v>265</v>
      </c>
      <c r="C22" s="1" t="s">
        <v>267</v>
      </c>
      <c r="D22" s="1" t="s">
        <v>268</v>
      </c>
      <c r="E22" s="1" t="s">
        <v>270</v>
      </c>
      <c r="F22" s="1" t="s">
        <v>271</v>
      </c>
    </row>
    <row r="23" spans="1:6" x14ac:dyDescent="0.25">
      <c r="A23" t="s">
        <v>266</v>
      </c>
      <c r="B23">
        <v>130</v>
      </c>
      <c r="C23">
        <v>24</v>
      </c>
      <c r="D23" t="s">
        <v>269</v>
      </c>
      <c r="E23">
        <v>450.3</v>
      </c>
    </row>
    <row r="24" spans="1:6" x14ac:dyDescent="0.25">
      <c r="A24" t="s">
        <v>272</v>
      </c>
      <c r="B24">
        <v>70</v>
      </c>
      <c r="C24">
        <v>96</v>
      </c>
      <c r="D24" t="s">
        <v>269</v>
      </c>
      <c r="E24" s="15">
        <v>3879.7</v>
      </c>
    </row>
    <row r="25" spans="1:6" x14ac:dyDescent="0.25">
      <c r="A25" t="s">
        <v>273</v>
      </c>
      <c r="B25">
        <v>81</v>
      </c>
      <c r="C25">
        <v>120</v>
      </c>
      <c r="D25" t="s">
        <v>269</v>
      </c>
      <c r="E25" s="15">
        <v>7014.6</v>
      </c>
    </row>
    <row r="26" spans="1:6" x14ac:dyDescent="0.25">
      <c r="F26">
        <f>SUM(E23:E25)</f>
        <v>11344.6</v>
      </c>
    </row>
  </sheetData>
  <hyperlinks>
    <hyperlink ref="I8" r:id="rId1" xr:uid="{53501325-A617-4ECD-9253-DE5B493F23F4}"/>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700B-FB62-4D2E-ADD7-FDA12C002893}">
  <dimension ref="A2:P64"/>
  <sheetViews>
    <sheetView tabSelected="1" topLeftCell="A7" workbookViewId="0">
      <selection activeCell="A50" sqref="A50"/>
    </sheetView>
  </sheetViews>
  <sheetFormatPr defaultRowHeight="15" x14ac:dyDescent="0.25"/>
  <cols>
    <col min="1" max="1" width="15.28515625" customWidth="1"/>
    <col min="2" max="3" width="13.5703125" customWidth="1"/>
    <col min="4" max="4" width="35" customWidth="1"/>
    <col min="5" max="5" width="13.140625" customWidth="1"/>
    <col min="6" max="6" width="13.7109375" customWidth="1"/>
    <col min="7" max="7" width="13.42578125" customWidth="1"/>
    <col min="8" max="8" width="29.5703125" customWidth="1"/>
    <col min="9" max="9" width="18.140625" customWidth="1"/>
    <col min="10" max="10" width="18" customWidth="1"/>
    <col min="11" max="11" width="24.7109375" customWidth="1"/>
    <col min="12" max="12" width="13.5703125" customWidth="1"/>
    <col min="13" max="13" width="12.42578125" customWidth="1"/>
    <col min="14" max="14" width="11.5703125" customWidth="1"/>
    <col min="15" max="15" width="12.42578125" customWidth="1"/>
    <col min="16" max="16" width="13.5703125" customWidth="1"/>
  </cols>
  <sheetData>
    <row r="2" spans="1:11" x14ac:dyDescent="0.25">
      <c r="B2" t="s">
        <v>176</v>
      </c>
    </row>
    <row r="4" spans="1:11" x14ac:dyDescent="0.25">
      <c r="B4" t="s">
        <v>293</v>
      </c>
    </row>
    <row r="5" spans="1:11" x14ac:dyDescent="0.25">
      <c r="B5" s="6" t="s">
        <v>324</v>
      </c>
    </row>
    <row r="7" spans="1:11" x14ac:dyDescent="0.25">
      <c r="A7" t="s">
        <v>294</v>
      </c>
    </row>
    <row r="8" spans="1:11" x14ac:dyDescent="0.25">
      <c r="A8" t="s">
        <v>295</v>
      </c>
    </row>
    <row r="9" spans="1:11" x14ac:dyDescent="0.25">
      <c r="A9" t="s">
        <v>298</v>
      </c>
    </row>
    <row r="10" spans="1:11" x14ac:dyDescent="0.25">
      <c r="A10" t="s">
        <v>305</v>
      </c>
    </row>
    <row r="11" spans="1:11" x14ac:dyDescent="0.25">
      <c r="A11" t="s">
        <v>312</v>
      </c>
    </row>
    <row r="13" spans="1:11" x14ac:dyDescent="0.25">
      <c r="A13" t="s">
        <v>306</v>
      </c>
    </row>
    <row r="14" spans="1:11" x14ac:dyDescent="0.25">
      <c r="B14" t="s">
        <v>322</v>
      </c>
    </row>
    <row r="16" spans="1:11" x14ac:dyDescent="0.25">
      <c r="F16" s="39" t="s">
        <v>391</v>
      </c>
      <c r="G16" s="39"/>
      <c r="H16" s="39"/>
      <c r="I16" s="39" t="s">
        <v>392</v>
      </c>
      <c r="J16" s="39"/>
      <c r="K16" s="39"/>
    </row>
    <row r="17" spans="1:11" ht="45" x14ac:dyDescent="0.25">
      <c r="A17" s="1" t="s">
        <v>296</v>
      </c>
      <c r="B17" s="1" t="s">
        <v>297</v>
      </c>
      <c r="C17" s="1" t="s">
        <v>299</v>
      </c>
      <c r="D17" s="1" t="s">
        <v>300</v>
      </c>
      <c r="E17" s="1" t="s">
        <v>301</v>
      </c>
      <c r="F17" s="1" t="s">
        <v>302</v>
      </c>
      <c r="G17" s="1" t="s">
        <v>303</v>
      </c>
      <c r="H17" s="1" t="s">
        <v>304</v>
      </c>
      <c r="I17" s="1" t="s">
        <v>302</v>
      </c>
      <c r="J17" s="1" t="s">
        <v>303</v>
      </c>
      <c r="K17" s="1" t="s">
        <v>304</v>
      </c>
    </row>
    <row r="18" spans="1:11" x14ac:dyDescent="0.25">
      <c r="A18">
        <v>11950</v>
      </c>
      <c r="B18">
        <f>SUM(C18:E18)</f>
        <v>23.9</v>
      </c>
      <c r="C18">
        <f>(0.1*A18)/100</f>
        <v>11.95</v>
      </c>
      <c r="D18">
        <f>(0.06*A18)/100</f>
        <v>7.17</v>
      </c>
      <c r="E18">
        <f>(0.04*A18)/100</f>
        <v>4.78</v>
      </c>
      <c r="F18">
        <f>0.4*C18</f>
        <v>4.78</v>
      </c>
      <c r="G18">
        <f>0.4*D18</f>
        <v>2.8680000000000003</v>
      </c>
      <c r="H18">
        <f>0.4*E18</f>
        <v>1.9120000000000001</v>
      </c>
      <c r="I18">
        <f>0.7*C18</f>
        <v>8.3649999999999984</v>
      </c>
      <c r="J18">
        <f>0.7*D18</f>
        <v>5.0189999999999992</v>
      </c>
      <c r="K18">
        <f>0.7*E18</f>
        <v>3.3460000000000001</v>
      </c>
    </row>
    <row r="21" spans="1:11" ht="29.45" customHeight="1" x14ac:dyDescent="0.25">
      <c r="F21" s="37" t="s">
        <v>307</v>
      </c>
      <c r="G21" s="37"/>
      <c r="H21" s="37"/>
      <c r="I21" s="37" t="s">
        <v>308</v>
      </c>
      <c r="J21" s="37"/>
      <c r="K21" s="37"/>
    </row>
    <row r="22" spans="1:11" x14ac:dyDescent="0.25">
      <c r="F22" t="s">
        <v>309</v>
      </c>
      <c r="G22" t="s">
        <v>310</v>
      </c>
      <c r="H22" t="s">
        <v>311</v>
      </c>
      <c r="I22" t="s">
        <v>309</v>
      </c>
      <c r="J22" t="s">
        <v>310</v>
      </c>
      <c r="K22" t="s">
        <v>311</v>
      </c>
    </row>
    <row r="23" spans="1:11" x14ac:dyDescent="0.25">
      <c r="F23">
        <f t="shared" ref="F23:K23" si="0">F18*3</f>
        <v>14.34</v>
      </c>
      <c r="G23">
        <f t="shared" si="0"/>
        <v>8.604000000000001</v>
      </c>
      <c r="H23">
        <f t="shared" si="0"/>
        <v>5.7360000000000007</v>
      </c>
      <c r="I23">
        <f t="shared" si="0"/>
        <v>25.094999999999995</v>
      </c>
      <c r="J23">
        <f t="shared" si="0"/>
        <v>15.056999999999999</v>
      </c>
      <c r="K23">
        <f t="shared" si="0"/>
        <v>10.038</v>
      </c>
    </row>
    <row r="26" spans="1:11" x14ac:dyDescent="0.25">
      <c r="B26" s="6" t="s">
        <v>274</v>
      </c>
    </row>
    <row r="27" spans="1:11" x14ac:dyDescent="0.25">
      <c r="A27" t="s">
        <v>323</v>
      </c>
      <c r="B27" s="6"/>
    </row>
    <row r="28" spans="1:11" ht="105" x14ac:dyDescent="0.25">
      <c r="A28" s="1" t="s">
        <v>264</v>
      </c>
      <c r="B28" s="1" t="s">
        <v>265</v>
      </c>
      <c r="C28" s="1" t="s">
        <v>267</v>
      </c>
      <c r="D28" s="1" t="s">
        <v>268</v>
      </c>
      <c r="E28" s="1" t="s">
        <v>270</v>
      </c>
      <c r="F28" s="1" t="s">
        <v>271</v>
      </c>
    </row>
    <row r="29" spans="1:11" x14ac:dyDescent="0.25">
      <c r="A29" t="s">
        <v>266</v>
      </c>
      <c r="B29">
        <v>130</v>
      </c>
      <c r="C29">
        <v>24</v>
      </c>
      <c r="D29" s="7" t="s">
        <v>269</v>
      </c>
      <c r="E29">
        <v>450.3</v>
      </c>
    </row>
    <row r="30" spans="1:11" x14ac:dyDescent="0.25">
      <c r="A30" t="s">
        <v>272</v>
      </c>
      <c r="B30">
        <v>70</v>
      </c>
      <c r="C30">
        <v>96</v>
      </c>
      <c r="D30" t="s">
        <v>269</v>
      </c>
      <c r="E30" s="15">
        <v>3879.7</v>
      </c>
    </row>
    <row r="31" spans="1:11" x14ac:dyDescent="0.25">
      <c r="A31" t="s">
        <v>273</v>
      </c>
      <c r="B31">
        <v>81</v>
      </c>
      <c r="C31">
        <v>120</v>
      </c>
      <c r="D31" t="s">
        <v>269</v>
      </c>
      <c r="E31" s="15">
        <v>7014.6</v>
      </c>
    </row>
    <row r="32" spans="1:11" x14ac:dyDescent="0.25">
      <c r="F32">
        <f>SUM(E29:E31)</f>
        <v>11344.6</v>
      </c>
    </row>
    <row r="36" spans="1:16" x14ac:dyDescent="0.25">
      <c r="B36" t="s">
        <v>293</v>
      </c>
    </row>
    <row r="37" spans="1:16" x14ac:dyDescent="0.25">
      <c r="B37" s="6" t="s">
        <v>325</v>
      </c>
    </row>
    <row r="39" spans="1:16" x14ac:dyDescent="0.25">
      <c r="A39" t="s">
        <v>327</v>
      </c>
    </row>
    <row r="40" spans="1:16" x14ac:dyDescent="0.25">
      <c r="A40" t="s">
        <v>326</v>
      </c>
    </row>
    <row r="41" spans="1:16" x14ac:dyDescent="0.25">
      <c r="A41" t="s">
        <v>329</v>
      </c>
    </row>
    <row r="42" spans="1:16" x14ac:dyDescent="0.25">
      <c r="A42" t="s">
        <v>334</v>
      </c>
    </row>
    <row r="43" spans="1:16" x14ac:dyDescent="0.25">
      <c r="A43" t="s">
        <v>338</v>
      </c>
    </row>
    <row r="44" spans="1:16" x14ac:dyDescent="0.25">
      <c r="A44" t="s">
        <v>340</v>
      </c>
    </row>
    <row r="45" spans="1:16" x14ac:dyDescent="0.25">
      <c r="A45" t="s">
        <v>342</v>
      </c>
    </row>
    <row r="47" spans="1:16" ht="90" x14ac:dyDescent="0.25">
      <c r="A47" t="s">
        <v>264</v>
      </c>
      <c r="B47" t="s">
        <v>265</v>
      </c>
      <c r="C47" s="1" t="s">
        <v>330</v>
      </c>
      <c r="D47" s="1" t="s">
        <v>335</v>
      </c>
      <c r="E47" s="1" t="s">
        <v>337</v>
      </c>
      <c r="F47" s="1" t="s">
        <v>336</v>
      </c>
      <c r="G47" s="1" t="s">
        <v>297</v>
      </c>
      <c r="H47" s="1" t="s">
        <v>299</v>
      </c>
      <c r="I47" s="1" t="s">
        <v>300</v>
      </c>
      <c r="J47" s="1" t="s">
        <v>301</v>
      </c>
      <c r="K47" s="1" t="s">
        <v>302</v>
      </c>
      <c r="L47" s="1" t="s">
        <v>303</v>
      </c>
      <c r="M47" s="1" t="s">
        <v>304</v>
      </c>
      <c r="N47" s="1"/>
      <c r="O47" s="1"/>
      <c r="P47" s="1"/>
    </row>
    <row r="48" spans="1:16" ht="30" x14ac:dyDescent="0.25">
      <c r="A48" s="1" t="s">
        <v>328</v>
      </c>
      <c r="B48">
        <v>4</v>
      </c>
      <c r="C48">
        <v>24</v>
      </c>
      <c r="D48">
        <f>3.14*((C48/2)^2)</f>
        <v>452.16</v>
      </c>
      <c r="E48">
        <f>D48*B48</f>
        <v>1808.64</v>
      </c>
      <c r="F48" s="18">
        <f>E48/144</f>
        <v>12.56</v>
      </c>
      <c r="G48" s="18">
        <f>SUM(H48:J48)</f>
        <v>2.5120000000000003E-2</v>
      </c>
      <c r="H48" s="17">
        <f>(0.1*F48)/100</f>
        <v>1.2560000000000002E-2</v>
      </c>
      <c r="I48" s="17">
        <f>(0.06*F48)/100</f>
        <v>7.5360000000000002E-3</v>
      </c>
      <c r="J48" s="17">
        <f>(0.04*F48)/100</f>
        <v>5.0240000000000007E-3</v>
      </c>
      <c r="K48" s="17">
        <f>0.4*H48</f>
        <v>5.0240000000000007E-3</v>
      </c>
      <c r="L48" s="17">
        <f>0.4*I48</f>
        <v>3.0144000000000004E-3</v>
      </c>
      <c r="M48" s="17">
        <f>0.4*J48</f>
        <v>2.0096000000000003E-3</v>
      </c>
      <c r="N48" s="17"/>
      <c r="O48" s="17"/>
      <c r="P48" s="17"/>
    </row>
    <row r="49" spans="1:16" x14ac:dyDescent="0.25">
      <c r="A49" t="s">
        <v>333</v>
      </c>
      <c r="B49">
        <v>151</v>
      </c>
      <c r="C49">
        <v>12</v>
      </c>
      <c r="D49">
        <f t="shared" ref="D49:D51" si="1">3.14*((C49/2)^2)</f>
        <v>113.04</v>
      </c>
      <c r="E49">
        <f t="shared" ref="E49:E51" si="2">D49*B49</f>
        <v>17069.04</v>
      </c>
      <c r="F49" s="18">
        <f t="shared" ref="F49:F51" si="3">E49/144</f>
        <v>118.53500000000001</v>
      </c>
      <c r="G49" s="18">
        <f t="shared" ref="G49:G51" si="4">SUM(H49:J49)</f>
        <v>0.23707000000000003</v>
      </c>
      <c r="H49" s="17">
        <f t="shared" ref="H49:H51" si="5">(0.1*F49)/100</f>
        <v>0.11853500000000002</v>
      </c>
      <c r="I49" s="17">
        <f t="shared" ref="I49:I51" si="6">(0.06*F49)/100</f>
        <v>7.1121000000000004E-2</v>
      </c>
      <c r="J49" s="17">
        <f t="shared" ref="J49:J51" si="7">(0.04*F49)/100</f>
        <v>4.7414000000000005E-2</v>
      </c>
      <c r="K49" s="17">
        <f t="shared" ref="K49:K51" si="8">0.4*H49</f>
        <v>4.7414000000000012E-2</v>
      </c>
      <c r="L49" s="17">
        <f t="shared" ref="L49:L51" si="9">0.4*I49</f>
        <v>2.8448400000000002E-2</v>
      </c>
      <c r="M49" s="17">
        <f t="shared" ref="M49:M51" si="10">0.4*J49</f>
        <v>1.8965600000000003E-2</v>
      </c>
      <c r="N49" s="17"/>
      <c r="O49" s="17"/>
      <c r="P49" s="17"/>
    </row>
    <row r="50" spans="1:16" ht="45" x14ac:dyDescent="0.25">
      <c r="A50" s="1" t="s">
        <v>331</v>
      </c>
      <c r="B50">
        <v>20</v>
      </c>
      <c r="C50">
        <v>6</v>
      </c>
      <c r="D50">
        <f t="shared" si="1"/>
        <v>28.26</v>
      </c>
      <c r="E50">
        <f t="shared" si="2"/>
        <v>565.20000000000005</v>
      </c>
      <c r="F50" s="18">
        <f t="shared" si="3"/>
        <v>3.9250000000000003</v>
      </c>
      <c r="G50" s="18">
        <f t="shared" si="4"/>
        <v>7.8500000000000011E-3</v>
      </c>
      <c r="H50" s="17">
        <f t="shared" si="5"/>
        <v>3.9250000000000005E-3</v>
      </c>
      <c r="I50" s="17">
        <f t="shared" si="6"/>
        <v>2.3550000000000003E-3</v>
      </c>
      <c r="J50" s="17">
        <f t="shared" si="7"/>
        <v>1.57E-3</v>
      </c>
      <c r="K50" s="17">
        <f t="shared" si="8"/>
        <v>1.5700000000000002E-3</v>
      </c>
      <c r="L50" s="17">
        <f t="shared" si="9"/>
        <v>9.4200000000000013E-4</v>
      </c>
      <c r="M50" s="17">
        <f t="shared" si="10"/>
        <v>6.2800000000000009E-4</v>
      </c>
      <c r="N50" s="17"/>
      <c r="O50" s="17"/>
      <c r="P50" s="17"/>
    </row>
    <row r="51" spans="1:16" x14ac:dyDescent="0.25">
      <c r="A51" t="s">
        <v>332</v>
      </c>
      <c r="B51">
        <v>130</v>
      </c>
      <c r="C51">
        <v>2</v>
      </c>
      <c r="D51">
        <f t="shared" si="1"/>
        <v>3.14</v>
      </c>
      <c r="E51">
        <f t="shared" si="2"/>
        <v>408.2</v>
      </c>
      <c r="F51" s="18">
        <f t="shared" si="3"/>
        <v>2.8347222222222221</v>
      </c>
      <c r="G51" s="18">
        <f t="shared" si="4"/>
        <v>5.6694444444444448E-3</v>
      </c>
      <c r="H51" s="17">
        <f t="shared" si="5"/>
        <v>2.8347222222222224E-3</v>
      </c>
      <c r="I51" s="17">
        <f t="shared" si="6"/>
        <v>1.7008333333333331E-3</v>
      </c>
      <c r="J51" s="17">
        <f t="shared" si="7"/>
        <v>1.1338888888888889E-3</v>
      </c>
      <c r="K51" s="17">
        <f t="shared" si="8"/>
        <v>1.1338888888888889E-3</v>
      </c>
      <c r="L51" s="17">
        <f t="shared" si="9"/>
        <v>6.8033333333333325E-4</v>
      </c>
      <c r="M51" s="17">
        <f t="shared" si="10"/>
        <v>4.5355555555555557E-4</v>
      </c>
      <c r="N51" s="17"/>
      <c r="O51" s="17"/>
      <c r="P51" s="17"/>
    </row>
    <row r="53" spans="1:16" ht="28.9" customHeight="1" x14ac:dyDescent="0.25">
      <c r="K53" s="38" t="s">
        <v>339</v>
      </c>
      <c r="L53" s="38"/>
      <c r="M53" s="38"/>
      <c r="N53" s="37"/>
      <c r="O53" s="37"/>
      <c r="P53" s="37"/>
    </row>
    <row r="54" spans="1:16" x14ac:dyDescent="0.25">
      <c r="K54" t="s">
        <v>309</v>
      </c>
      <c r="L54" t="s">
        <v>310</v>
      </c>
      <c r="M54" t="s">
        <v>311</v>
      </c>
    </row>
    <row r="55" spans="1:16" x14ac:dyDescent="0.25">
      <c r="K55" s="17">
        <f>(SUM(K48:K51))*2</f>
        <v>0.1102837777777778</v>
      </c>
      <c r="L55" s="17">
        <f>(SUM(L48:L50))*2</f>
        <v>6.4809599999999995E-2</v>
      </c>
      <c r="M55" s="17">
        <f>(SUM(M48:M51))*2</f>
        <v>4.4113511111111114E-2</v>
      </c>
    </row>
    <row r="57" spans="1:16" x14ac:dyDescent="0.25">
      <c r="K57" s="16" t="s">
        <v>341</v>
      </c>
      <c r="M57" s="16">
        <v>0.3</v>
      </c>
    </row>
    <row r="58" spans="1:16" x14ac:dyDescent="0.25">
      <c r="K58" t="s">
        <v>309</v>
      </c>
      <c r="L58" t="s">
        <v>310</v>
      </c>
      <c r="M58" t="s">
        <v>311</v>
      </c>
    </row>
    <row r="59" spans="1:16" x14ac:dyDescent="0.25">
      <c r="K59">
        <f>K55*M57</f>
        <v>3.3085133333333336E-2</v>
      </c>
      <c r="L59">
        <f>L55*M57</f>
        <v>1.9442879999999999E-2</v>
      </c>
      <c r="M59">
        <f>M55*M57</f>
        <v>1.3234053333333334E-2</v>
      </c>
    </row>
    <row r="61" spans="1:16" ht="29.45" customHeight="1" x14ac:dyDescent="0.25">
      <c r="K61" s="37" t="s">
        <v>343</v>
      </c>
      <c r="L61" s="37"/>
      <c r="M61" s="16">
        <v>0.5</v>
      </c>
    </row>
    <row r="62" spans="1:16" x14ac:dyDescent="0.25">
      <c r="K62" s="36" t="s">
        <v>344</v>
      </c>
      <c r="L62" s="36"/>
      <c r="M62" s="36"/>
    </row>
    <row r="63" spans="1:16" x14ac:dyDescent="0.25">
      <c r="K63" t="s">
        <v>309</v>
      </c>
      <c r="L63" t="s">
        <v>310</v>
      </c>
      <c r="M63" t="s">
        <v>311</v>
      </c>
    </row>
    <row r="64" spans="1:16" x14ac:dyDescent="0.25">
      <c r="K64">
        <f>K59*M61</f>
        <v>1.6542566666666668E-2</v>
      </c>
      <c r="L64">
        <f>L59*M61</f>
        <v>9.7214399999999996E-3</v>
      </c>
      <c r="M64">
        <f>M59*M61</f>
        <v>6.617026666666667E-3</v>
      </c>
    </row>
  </sheetData>
  <mergeCells count="8">
    <mergeCell ref="F16:H16"/>
    <mergeCell ref="I16:K16"/>
    <mergeCell ref="K62:M62"/>
    <mergeCell ref="F21:H21"/>
    <mergeCell ref="I21:K21"/>
    <mergeCell ref="K53:M53"/>
    <mergeCell ref="N53:P53"/>
    <mergeCell ref="K61:L61"/>
  </mergeCells>
  <hyperlinks>
    <hyperlink ref="D29" r:id="rId1" xr:uid="{FA61C66B-4FBA-4F18-8AAC-C45AD301D458}"/>
  </hyperlink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EF37D-7B26-4EBA-83E7-B0E6E91386B0}">
  <dimension ref="A2:N30"/>
  <sheetViews>
    <sheetView workbookViewId="0">
      <selection activeCell="B21" sqref="B21:B22"/>
    </sheetView>
  </sheetViews>
  <sheetFormatPr defaultRowHeight="15" x14ac:dyDescent="0.25"/>
  <cols>
    <col min="1" max="1" width="16.85546875" customWidth="1"/>
    <col min="2" max="2" width="11.85546875" customWidth="1"/>
    <col min="9" max="10" width="12.42578125" customWidth="1"/>
  </cols>
  <sheetData>
    <row r="2" spans="1:14" x14ac:dyDescent="0.25">
      <c r="B2" t="s">
        <v>317</v>
      </c>
    </row>
    <row r="5" spans="1:14" x14ac:dyDescent="0.25">
      <c r="A5" t="s">
        <v>318</v>
      </c>
    </row>
    <row r="6" spans="1:14" x14ac:dyDescent="0.25">
      <c r="A6" t="s">
        <v>319</v>
      </c>
    </row>
    <row r="7" spans="1:14" x14ac:dyDescent="0.25">
      <c r="A7" t="s">
        <v>320</v>
      </c>
    </row>
    <row r="8" spans="1:14" x14ac:dyDescent="0.25">
      <c r="A8" t="s">
        <v>321</v>
      </c>
    </row>
    <row r="10" spans="1:14" x14ac:dyDescent="0.25">
      <c r="B10" t="s">
        <v>356</v>
      </c>
      <c r="C10" t="s">
        <v>379</v>
      </c>
    </row>
    <row r="11" spans="1:14" x14ac:dyDescent="0.25">
      <c r="B11" s="6" t="s">
        <v>357</v>
      </c>
      <c r="I11" s="6" t="s">
        <v>362</v>
      </c>
    </row>
    <row r="12" spans="1:14" ht="60" x14ac:dyDescent="0.25">
      <c r="A12" s="1" t="s">
        <v>346</v>
      </c>
      <c r="B12">
        <v>175</v>
      </c>
      <c r="I12" t="s">
        <v>360</v>
      </c>
      <c r="J12" t="s">
        <v>361</v>
      </c>
      <c r="M12" t="s">
        <v>36</v>
      </c>
      <c r="N12" s="1" t="s">
        <v>375</v>
      </c>
    </row>
    <row r="13" spans="1:14" ht="45" x14ac:dyDescent="0.25">
      <c r="A13" s="1" t="s">
        <v>347</v>
      </c>
      <c r="B13">
        <v>11</v>
      </c>
      <c r="I13" t="s">
        <v>363</v>
      </c>
      <c r="J13" s="19">
        <v>1E-4</v>
      </c>
      <c r="M13" t="s">
        <v>350</v>
      </c>
      <c r="N13">
        <v>6.1</v>
      </c>
    </row>
    <row r="14" spans="1:14" ht="45" x14ac:dyDescent="0.25">
      <c r="A14" s="1" t="s">
        <v>349</v>
      </c>
      <c r="B14">
        <f>SUM(B12:B13)</f>
        <v>186</v>
      </c>
      <c r="I14" s="1" t="s">
        <v>364</v>
      </c>
      <c r="J14" s="16">
        <v>0.1</v>
      </c>
      <c r="M14" t="s">
        <v>351</v>
      </c>
      <c r="N14">
        <v>7.1</v>
      </c>
    </row>
    <row r="15" spans="1:14" ht="45" x14ac:dyDescent="0.25">
      <c r="A15" t="s">
        <v>348</v>
      </c>
      <c r="B15" s="20">
        <f>(B13/B14)</f>
        <v>5.9139784946236562E-2</v>
      </c>
      <c r="I15" s="1" t="s">
        <v>365</v>
      </c>
      <c r="J15" s="16">
        <v>0.5</v>
      </c>
    </row>
    <row r="17" spans="1:13" x14ac:dyDescent="0.25">
      <c r="A17" s="6" t="s">
        <v>378</v>
      </c>
      <c r="B17" s="6" t="s">
        <v>358</v>
      </c>
      <c r="E17" s="6" t="s">
        <v>366</v>
      </c>
      <c r="I17" s="6" t="s">
        <v>370</v>
      </c>
      <c r="L17" s="6" t="s">
        <v>373</v>
      </c>
    </row>
    <row r="18" spans="1:13" x14ac:dyDescent="0.25">
      <c r="A18" t="s">
        <v>359</v>
      </c>
      <c r="E18" t="s">
        <v>367</v>
      </c>
      <c r="L18" t="s">
        <v>374</v>
      </c>
    </row>
    <row r="20" spans="1:13" x14ac:dyDescent="0.25">
      <c r="A20" t="s">
        <v>250</v>
      </c>
      <c r="B20" t="s">
        <v>368</v>
      </c>
      <c r="I20" t="s">
        <v>371</v>
      </c>
      <c r="J20" t="s">
        <v>372</v>
      </c>
      <c r="L20" t="s">
        <v>376</v>
      </c>
      <c r="M20" t="s">
        <v>377</v>
      </c>
    </row>
    <row r="21" spans="1:13" x14ac:dyDescent="0.25">
      <c r="A21" t="s">
        <v>353</v>
      </c>
      <c r="B21">
        <v>30000</v>
      </c>
      <c r="E21">
        <f>B21*J13</f>
        <v>3</v>
      </c>
      <c r="I21">
        <f>E21*J14</f>
        <v>0.30000000000000004</v>
      </c>
      <c r="J21">
        <f>E21*J15</f>
        <v>1.5</v>
      </c>
      <c r="L21">
        <f>I21*N13</f>
        <v>1.83</v>
      </c>
      <c r="M21">
        <f>J21*N13</f>
        <v>9.1499999999999986</v>
      </c>
    </row>
    <row r="22" spans="1:13" x14ac:dyDescent="0.25">
      <c r="A22" t="s">
        <v>354</v>
      </c>
      <c r="B22">
        <v>49000</v>
      </c>
      <c r="E22">
        <f>B22*J13</f>
        <v>4.9000000000000004</v>
      </c>
      <c r="I22">
        <f>E22*J14</f>
        <v>0.49000000000000005</v>
      </c>
      <c r="J22">
        <f>E22*J15</f>
        <v>2.4500000000000002</v>
      </c>
      <c r="L22">
        <f>I22*N14</f>
        <v>3.4790000000000001</v>
      </c>
      <c r="M22">
        <f>J22*N14</f>
        <v>17.395</v>
      </c>
    </row>
    <row r="23" spans="1:13" x14ac:dyDescent="0.25">
      <c r="A23" t="s">
        <v>355</v>
      </c>
      <c r="E23">
        <f t="shared" ref="E23" si="0">B23*J15</f>
        <v>0</v>
      </c>
      <c r="I23">
        <f>E23*J14</f>
        <v>0</v>
      </c>
      <c r="J23">
        <f>E23*J15</f>
        <v>0</v>
      </c>
      <c r="L23">
        <f>I23*N14</f>
        <v>0</v>
      </c>
      <c r="M23">
        <f>J23*N14</f>
        <v>0</v>
      </c>
    </row>
    <row r="24" spans="1:13" x14ac:dyDescent="0.25">
      <c r="A24" t="s">
        <v>352</v>
      </c>
      <c r="E24" t="s">
        <v>369</v>
      </c>
    </row>
    <row r="26" spans="1:13" x14ac:dyDescent="0.25">
      <c r="B26" t="s">
        <v>380</v>
      </c>
    </row>
    <row r="29" spans="1:13" x14ac:dyDescent="0.25">
      <c r="B29" s="6"/>
    </row>
    <row r="30" spans="1:13" x14ac:dyDescent="0.25">
      <c r="B30" s="1"/>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EC38F-1C1C-4A6A-AD70-E94F756D5EB8}">
  <dimension ref="A2:D19"/>
  <sheetViews>
    <sheetView workbookViewId="0">
      <selection activeCell="B15" sqref="B15"/>
    </sheetView>
  </sheetViews>
  <sheetFormatPr defaultRowHeight="15" x14ac:dyDescent="0.25"/>
  <cols>
    <col min="1" max="1" width="16.42578125" customWidth="1"/>
    <col min="2" max="2" width="19.42578125" customWidth="1"/>
    <col min="3" max="3" width="17.5703125" customWidth="1"/>
    <col min="4" max="4" width="17" customWidth="1"/>
  </cols>
  <sheetData>
    <row r="2" spans="1:4" x14ac:dyDescent="0.25">
      <c r="B2" t="s">
        <v>317</v>
      </c>
    </row>
    <row r="4" spans="1:4" x14ac:dyDescent="0.25">
      <c r="A4" t="s">
        <v>318</v>
      </c>
    </row>
    <row r="5" spans="1:4" x14ac:dyDescent="0.25">
      <c r="A5" t="s">
        <v>319</v>
      </c>
    </row>
    <row r="6" spans="1:4" x14ac:dyDescent="0.25">
      <c r="A6" t="s">
        <v>320</v>
      </c>
    </row>
    <row r="7" spans="1:4" x14ac:dyDescent="0.25">
      <c r="A7" t="s">
        <v>321</v>
      </c>
    </row>
    <row r="9" spans="1:4" x14ac:dyDescent="0.25">
      <c r="A9" t="s">
        <v>386</v>
      </c>
    </row>
    <row r="12" spans="1:4" x14ac:dyDescent="0.25">
      <c r="A12" s="6" t="s">
        <v>381</v>
      </c>
    </row>
    <row r="13" spans="1:4" ht="30" x14ac:dyDescent="0.25">
      <c r="A13" t="s">
        <v>250</v>
      </c>
      <c r="B13" s="1" t="s">
        <v>387</v>
      </c>
      <c r="C13" t="s">
        <v>382</v>
      </c>
      <c r="D13" s="1" t="s">
        <v>383</v>
      </c>
    </row>
    <row r="14" spans="1:4" x14ac:dyDescent="0.25">
      <c r="A14" t="s">
        <v>384</v>
      </c>
      <c r="B14">
        <v>75000</v>
      </c>
    </row>
    <row r="15" spans="1:4" x14ac:dyDescent="0.25">
      <c r="A15" t="s">
        <v>354</v>
      </c>
      <c r="B15">
        <v>49000</v>
      </c>
    </row>
    <row r="16" spans="1:4" x14ac:dyDescent="0.25">
      <c r="A16" t="s">
        <v>355</v>
      </c>
    </row>
    <row r="17" spans="1:1" x14ac:dyDescent="0.25">
      <c r="A17" t="s">
        <v>352</v>
      </c>
    </row>
    <row r="19" spans="1:1" x14ac:dyDescent="0.25">
      <c r="A19" t="s">
        <v>385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8057C-0A48-4A02-A5B3-30B4F5159DA0}">
  <dimension ref="A1:N22"/>
  <sheetViews>
    <sheetView topLeftCell="A15" workbookViewId="0">
      <selection activeCell="G19" sqref="G19"/>
    </sheetView>
  </sheetViews>
  <sheetFormatPr defaultRowHeight="15" x14ac:dyDescent="0.25"/>
  <cols>
    <col min="1" max="1" width="39.85546875" customWidth="1"/>
    <col min="2" max="2" width="16" customWidth="1"/>
    <col min="3" max="3" width="28.7109375" customWidth="1"/>
    <col min="4" max="4" width="26.28515625" customWidth="1"/>
    <col min="5" max="5" width="19.140625" customWidth="1"/>
    <col min="6" max="6" width="26.85546875" customWidth="1"/>
    <col min="7" max="7" width="23.7109375" customWidth="1"/>
    <col min="8" max="8" width="22.28515625" customWidth="1"/>
    <col min="9" max="9" width="22.7109375" customWidth="1"/>
    <col min="10" max="10" width="26.28515625" customWidth="1"/>
    <col min="11" max="11" width="53" customWidth="1"/>
    <col min="13" max="13" width="16.5703125" customWidth="1"/>
    <col min="14" max="14" width="23.28515625" customWidth="1"/>
  </cols>
  <sheetData>
    <row r="1" spans="1:14" s="1" customFormat="1" ht="60" x14ac:dyDescent="0.25">
      <c r="A1" s="1" t="s">
        <v>83</v>
      </c>
      <c r="B1" s="1" t="s">
        <v>1</v>
      </c>
      <c r="C1" s="1" t="s">
        <v>2</v>
      </c>
      <c r="D1" s="1" t="s">
        <v>3</v>
      </c>
      <c r="E1" s="1" t="s">
        <v>4</v>
      </c>
      <c r="F1" s="1" t="s">
        <v>6</v>
      </c>
      <c r="G1" s="1" t="s">
        <v>7</v>
      </c>
      <c r="H1" s="1" t="s">
        <v>8</v>
      </c>
      <c r="I1" s="1" t="s">
        <v>9</v>
      </c>
      <c r="J1" s="1" t="s">
        <v>10</v>
      </c>
      <c r="K1" s="1" t="s">
        <v>11</v>
      </c>
      <c r="M1" s="6" t="s">
        <v>84</v>
      </c>
    </row>
    <row r="2" spans="1:14" s="1" customFormat="1" ht="72" customHeight="1" x14ac:dyDescent="0.25">
      <c r="A2" s="1" t="s">
        <v>85</v>
      </c>
      <c r="B2" s="1" t="s">
        <v>71</v>
      </c>
      <c r="C2" s="5" t="s">
        <v>86</v>
      </c>
      <c r="D2" s="1" t="s">
        <v>87</v>
      </c>
      <c r="E2" s="1" t="s">
        <v>88</v>
      </c>
      <c r="F2" s="2"/>
      <c r="G2" s="2"/>
      <c r="H2" s="2"/>
      <c r="I2" s="2" t="s">
        <v>24</v>
      </c>
      <c r="J2" s="1" t="s">
        <v>89</v>
      </c>
      <c r="K2" s="1" t="s">
        <v>90</v>
      </c>
      <c r="M2" s="1" t="s">
        <v>91</v>
      </c>
      <c r="N2" s="1" t="s">
        <v>92</v>
      </c>
    </row>
    <row r="3" spans="1:14" s="1" customFormat="1" ht="81.75" customHeight="1" x14ac:dyDescent="0.25">
      <c r="A3" s="1" t="s">
        <v>97</v>
      </c>
      <c r="B3" s="1" t="s">
        <v>98</v>
      </c>
      <c r="C3" s="5" t="s">
        <v>99</v>
      </c>
      <c r="E3" s="1" t="s">
        <v>100</v>
      </c>
      <c r="F3" s="2"/>
      <c r="G3" s="2"/>
      <c r="H3" s="2"/>
      <c r="I3" s="2"/>
      <c r="K3" s="1" t="s">
        <v>101</v>
      </c>
      <c r="M3" s="1" t="s">
        <v>93</v>
      </c>
      <c r="N3" s="1" t="s">
        <v>88</v>
      </c>
    </row>
    <row r="4" spans="1:14" s="1" customFormat="1" ht="94.5" customHeight="1" x14ac:dyDescent="0.25">
      <c r="A4" s="1" t="s">
        <v>102</v>
      </c>
      <c r="B4" s="1" t="s">
        <v>104</v>
      </c>
      <c r="C4" s="8" t="s">
        <v>105</v>
      </c>
      <c r="E4" s="1" t="s">
        <v>100</v>
      </c>
      <c r="F4" s="2"/>
      <c r="G4" s="2"/>
      <c r="H4" s="2"/>
      <c r="I4" s="2"/>
      <c r="K4" s="1" t="s">
        <v>107</v>
      </c>
      <c r="M4" s="1" t="s">
        <v>91</v>
      </c>
      <c r="N4" s="1" t="s">
        <v>94</v>
      </c>
    </row>
    <row r="5" spans="1:14" s="1" customFormat="1" ht="106.5" customHeight="1" x14ac:dyDescent="0.25">
      <c r="A5" s="1" t="s">
        <v>106</v>
      </c>
      <c r="B5" s="1" t="s">
        <v>104</v>
      </c>
      <c r="C5" s="5" t="s">
        <v>103</v>
      </c>
      <c r="E5" s="1" t="s">
        <v>100</v>
      </c>
      <c r="F5" s="2"/>
      <c r="G5" s="2"/>
      <c r="H5" s="2"/>
      <c r="I5" s="2"/>
      <c r="M5" s="1" t="s">
        <v>95</v>
      </c>
      <c r="N5" s="1" t="s">
        <v>96</v>
      </c>
    </row>
    <row r="6" spans="1:14" s="1" customFormat="1" ht="60" x14ac:dyDescent="0.25">
      <c r="A6" s="1" t="s">
        <v>177</v>
      </c>
      <c r="B6" s="1" t="s">
        <v>178</v>
      </c>
      <c r="C6" s="5" t="s">
        <v>209</v>
      </c>
      <c r="D6" s="1" t="s">
        <v>179</v>
      </c>
      <c r="E6" s="1" t="s">
        <v>100</v>
      </c>
      <c r="F6" s="2"/>
      <c r="G6" s="2"/>
      <c r="H6" s="2"/>
      <c r="I6" s="2"/>
    </row>
    <row r="7" spans="1:14" s="1" customFormat="1" ht="79.900000000000006" customHeight="1" x14ac:dyDescent="0.25">
      <c r="A7" s="1" t="s">
        <v>180</v>
      </c>
      <c r="B7" s="1" t="s">
        <v>181</v>
      </c>
      <c r="C7" s="5" t="s">
        <v>210</v>
      </c>
      <c r="D7" s="1" t="s">
        <v>182</v>
      </c>
      <c r="E7" s="1" t="s">
        <v>100</v>
      </c>
      <c r="F7" s="2"/>
      <c r="G7" s="2"/>
      <c r="H7" s="2"/>
      <c r="I7" s="2"/>
    </row>
    <row r="8" spans="1:14" s="1" customFormat="1" ht="90" x14ac:dyDescent="0.25">
      <c r="A8" s="1" t="s">
        <v>183</v>
      </c>
      <c r="B8" s="1" t="s">
        <v>78</v>
      </c>
      <c r="C8" s="5" t="s">
        <v>211</v>
      </c>
      <c r="D8" s="1" t="s">
        <v>184</v>
      </c>
      <c r="E8" s="1" t="s">
        <v>100</v>
      </c>
      <c r="F8" s="2"/>
      <c r="G8" s="2"/>
      <c r="H8" s="2"/>
      <c r="I8" s="2"/>
    </row>
    <row r="9" spans="1:14" s="1" customFormat="1" ht="45" x14ac:dyDescent="0.25">
      <c r="A9" s="1" t="s">
        <v>185</v>
      </c>
      <c r="B9" s="1" t="s">
        <v>186</v>
      </c>
      <c r="C9" s="8" t="s">
        <v>212</v>
      </c>
      <c r="D9" s="1" t="s">
        <v>187</v>
      </c>
      <c r="E9" s="1" t="s">
        <v>100</v>
      </c>
      <c r="F9" s="2"/>
      <c r="G9" s="2"/>
      <c r="H9" s="2"/>
      <c r="I9" s="2"/>
    </row>
    <row r="10" spans="1:14" s="1" customFormat="1" ht="75" x14ac:dyDescent="0.25">
      <c r="A10" s="1" t="s">
        <v>188</v>
      </c>
      <c r="B10" s="1" t="s">
        <v>189</v>
      </c>
      <c r="C10" s="5" t="s">
        <v>213</v>
      </c>
      <c r="D10" s="1" t="s">
        <v>190</v>
      </c>
      <c r="E10" s="1" t="s">
        <v>100</v>
      </c>
      <c r="F10" s="2"/>
      <c r="G10" s="2"/>
      <c r="H10" s="2"/>
      <c r="I10" s="2"/>
    </row>
    <row r="11" spans="1:14" s="1" customFormat="1" ht="45" x14ac:dyDescent="0.25">
      <c r="A11" s="1" t="s">
        <v>191</v>
      </c>
      <c r="B11" s="1" t="s">
        <v>192</v>
      </c>
      <c r="C11" s="5" t="s">
        <v>214</v>
      </c>
      <c r="E11" s="1" t="s">
        <v>100</v>
      </c>
      <c r="F11" s="2"/>
      <c r="G11" s="2"/>
      <c r="H11" s="2"/>
      <c r="I11" s="2"/>
    </row>
    <row r="12" spans="1:14" s="1" customFormat="1" ht="60" x14ac:dyDescent="0.25">
      <c r="A12" s="1" t="s">
        <v>193</v>
      </c>
      <c r="B12" s="1" t="s">
        <v>194</v>
      </c>
      <c r="C12" s="5" t="s">
        <v>215</v>
      </c>
      <c r="D12" s="1" t="s">
        <v>184</v>
      </c>
      <c r="E12" s="1" t="s">
        <v>100</v>
      </c>
      <c r="F12" s="2"/>
      <c r="G12" s="2"/>
      <c r="H12" s="2"/>
      <c r="I12" s="2"/>
    </row>
    <row r="13" spans="1:14" s="1" customFormat="1" ht="90" x14ac:dyDescent="0.25">
      <c r="A13" s="1" t="s">
        <v>195</v>
      </c>
      <c r="B13" s="1" t="s">
        <v>196</v>
      </c>
      <c r="C13" s="5" t="s">
        <v>216</v>
      </c>
      <c r="D13" s="1" t="s">
        <v>197</v>
      </c>
      <c r="E13" s="1" t="s">
        <v>100</v>
      </c>
      <c r="F13" s="2"/>
      <c r="G13" s="2"/>
      <c r="H13" s="2"/>
      <c r="I13" s="2"/>
    </row>
    <row r="14" spans="1:14" s="1" customFormat="1" ht="60" x14ac:dyDescent="0.25">
      <c r="A14" s="1" t="s">
        <v>198</v>
      </c>
      <c r="B14" s="1" t="s">
        <v>199</v>
      </c>
      <c r="C14" s="5" t="s">
        <v>217</v>
      </c>
      <c r="D14" s="1" t="s">
        <v>190</v>
      </c>
      <c r="E14" s="1" t="s">
        <v>100</v>
      </c>
      <c r="F14" s="2"/>
      <c r="G14" s="2"/>
      <c r="H14" s="2"/>
      <c r="I14" s="2"/>
    </row>
    <row r="15" spans="1:14" s="1" customFormat="1" ht="60" x14ac:dyDescent="0.25">
      <c r="A15" s="1" t="s">
        <v>200</v>
      </c>
      <c r="B15" s="1" t="s">
        <v>199</v>
      </c>
      <c r="C15" s="5" t="s">
        <v>218</v>
      </c>
      <c r="D15" s="1" t="s">
        <v>190</v>
      </c>
      <c r="E15" s="1" t="s">
        <v>100</v>
      </c>
      <c r="F15" s="2"/>
      <c r="G15" s="2"/>
      <c r="H15" s="2"/>
      <c r="I15" s="2"/>
    </row>
    <row r="16" spans="1:14" s="1" customFormat="1" ht="60" x14ac:dyDescent="0.25">
      <c r="A16" s="1" t="s">
        <v>201</v>
      </c>
      <c r="B16" s="1" t="s">
        <v>202</v>
      </c>
      <c r="C16" s="5" t="s">
        <v>219</v>
      </c>
      <c r="D16" s="1" t="s">
        <v>197</v>
      </c>
      <c r="E16" s="1" t="s">
        <v>100</v>
      </c>
      <c r="F16" s="2"/>
      <c r="G16" s="2"/>
      <c r="H16" s="2"/>
      <c r="I16" s="2"/>
    </row>
    <row r="17" spans="1:14" s="1" customFormat="1" ht="60" x14ac:dyDescent="0.25">
      <c r="A17" s="1" t="s">
        <v>203</v>
      </c>
      <c r="B17" s="1" t="s">
        <v>204</v>
      </c>
      <c r="C17" s="5" t="s">
        <v>220</v>
      </c>
      <c r="D17" s="1" t="s">
        <v>205</v>
      </c>
      <c r="E17" s="1" t="s">
        <v>100</v>
      </c>
      <c r="F17" s="2"/>
      <c r="G17" s="2"/>
      <c r="H17" s="2"/>
      <c r="I17" s="2"/>
    </row>
    <row r="18" spans="1:14" s="1" customFormat="1" ht="45" x14ac:dyDescent="0.25">
      <c r="A18" s="1" t="s">
        <v>206</v>
      </c>
      <c r="B18" s="1" t="s">
        <v>207</v>
      </c>
      <c r="C18" s="5" t="s">
        <v>221</v>
      </c>
      <c r="D18" s="1" t="s">
        <v>208</v>
      </c>
      <c r="E18" s="1" t="s">
        <v>100</v>
      </c>
      <c r="F18" s="2"/>
      <c r="G18" s="2"/>
      <c r="H18" s="2"/>
      <c r="I18" s="2"/>
    </row>
    <row r="19" spans="1:14" s="1" customFormat="1" ht="60" x14ac:dyDescent="0.25">
      <c r="A19" s="1" t="s">
        <v>222</v>
      </c>
      <c r="B19" s="1" t="s">
        <v>223</v>
      </c>
      <c r="C19" s="5" t="s">
        <v>224</v>
      </c>
      <c r="D19" s="1" t="s">
        <v>184</v>
      </c>
      <c r="E19" s="1" t="s">
        <v>100</v>
      </c>
      <c r="F19" s="2"/>
      <c r="G19" s="2"/>
      <c r="H19" s="2"/>
      <c r="I19" s="2"/>
    </row>
    <row r="20" spans="1:14" s="1" customFormat="1" ht="75" x14ac:dyDescent="0.25">
      <c r="A20" s="14" t="s">
        <v>225</v>
      </c>
      <c r="B20" s="1" t="s">
        <v>226</v>
      </c>
      <c r="C20" s="5" t="s">
        <v>227</v>
      </c>
      <c r="D20" s="1" t="s">
        <v>184</v>
      </c>
      <c r="E20" s="1" t="s">
        <v>100</v>
      </c>
      <c r="F20" s="2"/>
      <c r="G20" s="2"/>
      <c r="H20" s="2"/>
      <c r="I20" s="2"/>
    </row>
    <row r="21" spans="1:14" s="1" customFormat="1" x14ac:dyDescent="0.25"/>
    <row r="22" spans="1:14" s="1" customFormat="1" x14ac:dyDescent="0.25">
      <c r="M22"/>
      <c r="N22"/>
    </row>
  </sheetData>
  <hyperlinks>
    <hyperlink ref="C2" r:id="rId1" xr:uid="{1930F45F-42DA-4198-917B-7C77F2134A45}"/>
    <hyperlink ref="C4" r:id="rId2" xr:uid="{CF64D3F3-A74C-435B-A6D1-D3B958805EA4}"/>
    <hyperlink ref="C6" r:id="rId3" xr:uid="{E2F9A5D4-6B43-40F8-9D97-1F3E59BAA4DA}"/>
    <hyperlink ref="C9" r:id="rId4" xr:uid="{E7CB77D6-2FCD-491F-A92D-007FD48065BE}"/>
  </hyperlinks>
  <pageMargins left="0.7" right="0.7" top="0.75" bottom="0.75" header="0.3" footer="0.3"/>
  <pageSetup orientation="portrait"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_x002f_Time xmlns="b031f331-093e-4af9-b9a8-5fb9941cd8bc" xsi:nil="true"/>
    <Project xmlns="80727368-2d85-4693-8aca-8c33fb2339f5" xsi:nil="true"/>
    <IconOverlay xmlns="http://schemas.microsoft.com/sharepoint/v4" xsi:nil="true"/>
    <lcf76f155ced4ddcb4097134ff3c332f xmlns="b031f331-093e-4af9-b9a8-5fb9941cd8bc">
      <Terms xmlns="http://schemas.microsoft.com/office/infopath/2007/PartnerControls"/>
    </lcf76f155ced4ddcb4097134ff3c332f>
    <SourceFile xmlns="b031f331-093e-4af9-b9a8-5fb9941cd8bc" xsi:nil="true"/>
    <TaxCatchAll xmlns="61ea441e-408f-4c04-8adb-e628fdc370c0" xsi:nil="true"/>
    <Notes xmlns="b031f331-093e-4af9-b9a8-5fb9941cd8b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roject Document" ma:contentTypeID="0x01010084099C5946FA6344AFBC08FDA28BB5E3000F2A5536EED47B428001DEFDF00DB8CF" ma:contentTypeVersion="31" ma:contentTypeDescription="" ma:contentTypeScope="" ma:versionID="8f6676a41b6ceaec622f6036fe6c719c">
  <xsd:schema xmlns:xsd="http://www.w3.org/2001/XMLSchema" xmlns:xs="http://www.w3.org/2001/XMLSchema" xmlns:p="http://schemas.microsoft.com/office/2006/metadata/properties" xmlns:ns2="80727368-2d85-4693-8aca-8c33fb2339f5" xmlns:ns3="http://schemas.microsoft.com/sharepoint/v4" xmlns:ns4="b031f331-093e-4af9-b9a8-5fb9941cd8bc" xmlns:ns5="61ea441e-408f-4c04-8adb-e628fdc370c0" targetNamespace="http://schemas.microsoft.com/office/2006/metadata/properties" ma:root="true" ma:fieldsID="f4c24d879343d354472f72dafe6cecf9" ns2:_="" ns3:_="" ns4:_="" ns5:_="">
    <xsd:import namespace="80727368-2d85-4693-8aca-8c33fb2339f5"/>
    <xsd:import namespace="http://schemas.microsoft.com/sharepoint/v4"/>
    <xsd:import namespace="b031f331-093e-4af9-b9a8-5fb9941cd8bc"/>
    <xsd:import namespace="61ea441e-408f-4c04-8adb-e628fdc370c0"/>
    <xsd:element name="properties">
      <xsd:complexType>
        <xsd:sequence>
          <xsd:element name="documentManagement">
            <xsd:complexType>
              <xsd:all>
                <xsd:element ref="ns2:Project" minOccurs="0"/>
                <xsd:element ref="ns2:Project_x003a_Description" minOccurs="0"/>
                <xsd:element ref="ns2:SharedWithUsers" minOccurs="0"/>
                <xsd:element ref="ns3:IconOverlay" minOccurs="0"/>
                <xsd:element ref="ns2:SharingHintHash" minOccurs="0"/>
                <xsd:element ref="ns2:SharedWithDetails" minOccurs="0"/>
                <xsd:element ref="ns2:LastSharedByUser" minOccurs="0"/>
                <xsd:element ref="ns2: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5:TaxCatchAll" minOccurs="0"/>
                <xsd:element ref="ns4:lcf76f155ced4ddcb4097134ff3c332f" minOccurs="0"/>
                <xsd:element ref="ns4:Date_x002f_Time" minOccurs="0"/>
                <xsd:element ref="ns4:MediaServiceObjectDetectorVersions" minOccurs="0"/>
                <xsd:element ref="ns4:MediaServiceSearchProperties" minOccurs="0"/>
                <xsd:element ref="ns4:SourceFile" minOccurs="0"/>
                <xsd:element ref="ns4:MediaServiceBillingMetadata" minOccurs="0"/>
                <xsd:element ref="ns4: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27368-2d85-4693-8aca-8c33fb2339f5" elementFormDefault="qualified">
    <xsd:import namespace="http://schemas.microsoft.com/office/2006/documentManagement/types"/>
    <xsd:import namespace="http://schemas.microsoft.com/office/infopath/2007/PartnerControls"/>
    <xsd:element name="Project" ma:index="8" nillable="true" ma:displayName="Project" ma:list="{466bfe19-0901-498c-8ba9-2a12267cbd25}" ma:internalName="Project" ma:readOnly="false" ma:showField="Title" ma:web="80727368-2d85-4693-8aca-8c33fb2339f5">
      <xsd:simpleType>
        <xsd:restriction base="dms:Lookup"/>
      </xsd:simpleType>
    </xsd:element>
    <xsd:element name="Project_x003a_Description" ma:index="9" nillable="true" ma:displayName="Project:Description" ma:list="{466bfe19-0901-498c-8ba9-2a12267cbd25}" ma:internalName="Project_x003A_Description" ma:readOnly="true" ma:showField="CategoryDescription" ma:web="80727368-2d85-4693-8aca-8c33fb2339f5">
      <xsd:simpleType>
        <xsd:restriction base="dms:Lookup"/>
      </xsd:simpleType>
    </xsd:element>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2" nillable="true" ma:displayName="Sharing Hint Hash" ma:internalName="SharingHintHash" ma:readOnly="true">
      <xsd:simpleType>
        <xsd:restriction base="dms:Text"/>
      </xsd:simpleType>
    </xsd:element>
    <xsd:element name="SharedWithDetails" ma:index="13" nillable="true" ma:displayName="Shared With Details" ma:internalName="SharedWithDetails" ma:readOnly="true">
      <xsd:simpleType>
        <xsd:restriction base="dms:Note">
          <xsd:maxLength value="255"/>
        </xsd:restriction>
      </xsd:simpleType>
    </xsd:element>
    <xsd:element name="LastSharedByUser" ma:index="14" nillable="true" ma:displayName="Last Shared By User" ma:description="" ma:internalName="LastSharedByUser" ma:readOnly="true">
      <xsd:simpleType>
        <xsd:restriction base="dms:Note">
          <xsd:maxLength value="255"/>
        </xsd:restriction>
      </xsd:simpleType>
    </xsd:element>
    <xsd:element name="LastSharedByTime" ma:index="15"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31f331-093e-4af9-b9a8-5fb9941cd8bc" elementFormDefault="qualified">
    <xsd:import namespace="http://schemas.microsoft.com/office/2006/documentManagement/types"/>
    <xsd:import namespace="http://schemas.microsoft.com/office/infopath/2007/PartnerControls"/>
    <xsd:element name="MediaServiceMetadata" ma:index="16" nillable="true" ma:displayName="MediaServiceMetadata" ma:description="" ma:hidden="true" ma:internalName="MediaServiceMetadata" ma:readOnly="true">
      <xsd:simpleType>
        <xsd:restriction base="dms:Note"/>
      </xsd:simpleType>
    </xsd:element>
    <xsd:element name="MediaServiceFastMetadata" ma:index="17" nillable="true" ma:displayName="MediaServiceFastMetadata" ma:description="" ma:hidden="true" ma:internalName="MediaServiceFastMetadata" ma:readOnly="true">
      <xsd:simpleType>
        <xsd:restriction base="dms:Note"/>
      </xsd:simpleType>
    </xsd:element>
    <xsd:element name="MediaServiceDateTaken" ma:index="18" nillable="true" ma:displayName="MediaServiceDateTaken" ma:description="" ma:hidden="true" ma:internalName="MediaServiceDateTaken" ma:readOnly="true">
      <xsd:simpleType>
        <xsd:restriction base="dms:Text"/>
      </xsd:simpleType>
    </xsd:element>
    <xsd:element name="MediaServiceAutoTags" ma:index="19" nillable="true" ma:displayName="MediaServiceAutoTags" ma:description="" ma:internalName="MediaServiceAutoTags" ma:readOnly="true">
      <xsd:simpleType>
        <xsd:restriction base="dms:Text"/>
      </xsd:simpleType>
    </xsd:element>
    <xsd:element name="MediaServiceLocation" ma:index="20" nillable="true" ma:displayName="MediaServiceLocation" ma:description="" ma:internalName="MediaServiceLocation" ma:readOnly="true">
      <xsd:simpleType>
        <xsd:restriction base="dms:Text"/>
      </xsd:simpleType>
    </xsd:element>
    <xsd:element name="MediaServiceOCR" ma:index="21" nillable="true" ma:displayName="MediaServiceOCR" ma:internalName="MediaServiceOCR" ma:readOnly="true">
      <xsd:simpleType>
        <xsd:restriction base="dms:Note">
          <xsd:maxLength value="255"/>
        </xsd:restriction>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LengthInSeconds" ma:index="26"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3148156e-35dd-42ed-ae17-2fd98e2f2e05" ma:termSetId="09814cd3-568e-fe90-9814-8d621ff8fb84" ma:anchorId="fba54fb3-c3e1-fe81-a776-ca4b69148c4d" ma:open="true" ma:isKeyword="false">
      <xsd:complexType>
        <xsd:sequence>
          <xsd:element ref="pc:Terms" minOccurs="0" maxOccurs="1"/>
        </xsd:sequence>
      </xsd:complexType>
    </xsd:element>
    <xsd:element name="Date_x002f_Time" ma:index="30" nillable="true" ma:displayName="Date/Time" ma:format="DateOnly" ma:internalName="Date_x002f_Time">
      <xsd:simpleType>
        <xsd:restriction base="dms:DateTim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SourceFile" ma:index="33" nillable="true" ma:displayName="Source File" ma:description="Add links to Canva or other where the file can be directly edited. " ma:format="Dropdown" ma:internalName="SourceFile">
      <xsd:simpleType>
        <xsd:restriction base="dms:Note">
          <xsd:maxLength value="255"/>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ea441e-408f-4c04-8adb-e628fdc370c0"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d2fab4e7-a8b7-4971-b346-34430c230743}" ma:internalName="TaxCatchAll" ma:showField="CatchAllData" ma:web="61ea441e-408f-4c04-8adb-e628fdc370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8F7100-EB9E-4055-A318-8FE795D6C859}">
  <ds:schemaRefs>
    <ds:schemaRef ds:uri="http://schemas.microsoft.com/office/2006/metadata/properties"/>
    <ds:schemaRef ds:uri="http://schemas.microsoft.com/office/infopath/2007/PartnerControls"/>
    <ds:schemaRef ds:uri="b031f331-093e-4af9-b9a8-5fb9941cd8bc"/>
    <ds:schemaRef ds:uri="80727368-2d85-4693-8aca-8c33fb2339f5"/>
    <ds:schemaRef ds:uri="http://schemas.microsoft.com/sharepoint/v4"/>
    <ds:schemaRef ds:uri="61ea441e-408f-4c04-8adb-e628fdc370c0"/>
  </ds:schemaRefs>
</ds:datastoreItem>
</file>

<file path=customXml/itemProps2.xml><?xml version="1.0" encoding="utf-8"?>
<ds:datastoreItem xmlns:ds="http://schemas.openxmlformats.org/officeDocument/2006/customXml" ds:itemID="{64F792F8-F27F-4E5F-BB34-EB6B6A495680}">
  <ds:schemaRefs>
    <ds:schemaRef ds:uri="http://schemas.microsoft.com/sharepoint/v3/contenttype/forms"/>
  </ds:schemaRefs>
</ds:datastoreItem>
</file>

<file path=customXml/itemProps3.xml><?xml version="1.0" encoding="utf-8"?>
<ds:datastoreItem xmlns:ds="http://schemas.openxmlformats.org/officeDocument/2006/customXml" ds:itemID="{EEEB4331-3E62-465A-B03C-330800A2C3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727368-2d85-4693-8aca-8c33fb2339f5"/>
    <ds:schemaRef ds:uri="http://schemas.microsoft.com/sharepoint/v4"/>
    <ds:schemaRef ds:uri="b031f331-093e-4af9-b9a8-5fb9941cd8bc"/>
    <ds:schemaRef ds:uri="61ea441e-408f-4c04-8adb-e628fdc370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Existing Calculators</vt:lpstr>
      <vt:lpstr>Plastics Ramblings</vt:lpstr>
      <vt:lpstr>Landscaping GHG Reduct. Calcs.</vt:lpstr>
      <vt:lpstr>Landscaping Water Reduct. Calcs</vt:lpstr>
      <vt:lpstr>Landscaping Nutrient Reductions</vt:lpstr>
      <vt:lpstr>Green Fleet (By Whole Fleet)</vt:lpstr>
      <vt:lpstr>Green Fleet (By Vehicle)</vt:lpstr>
      <vt:lpstr>Resources for Calculations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Fraley-McNeal</dc:creator>
  <cp:keywords/>
  <dc:description/>
  <cp:lastModifiedBy>Sami Towsif Khan</cp:lastModifiedBy>
  <cp:revision/>
  <dcterms:created xsi:type="dcterms:W3CDTF">2026-03-12T18:01:29Z</dcterms:created>
  <dcterms:modified xsi:type="dcterms:W3CDTF">2026-04-21T21:18:52Z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0x01010084099C5946FA6344AFBC08FDA28BB5E3000F2A5536EED47B428001DEFDF00DB8CF</vt:lpwstr>
  </property>
  <property fmtid="{D5CDD505-2E9C-101B-9397-08002B2CF9AE}" pid="3" name="MediaServiceImageTags">
    <vt:lpwstr/>
  </property>
</Properties>
</file>